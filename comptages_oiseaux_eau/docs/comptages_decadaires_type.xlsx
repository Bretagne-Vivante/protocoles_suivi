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D:\Maxime\Téléchargements\"/>
    </mc:Choice>
  </mc:AlternateContent>
  <xr:revisionPtr revIDLastSave="0" documentId="13_ncr:1_{D6F05BE6-FF0E-4314-993B-94CBFA80824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Comptage Décadaire" sheetId="1" r:id="rId1"/>
    <sheet name="IMPORTS" sheetId="7" r:id="rId2"/>
    <sheet name="Sites" sheetId="4" r:id="rId3"/>
    <sheet name="Nomenclature" sheetId="3" r:id="rId4"/>
    <sheet name="Utilisateurs" sheetId="2" r:id="rId5"/>
    <sheet name="Taxons" sheetId="6" r:id="rId6"/>
  </sheets>
  <definedNames>
    <definedName name="f_obs">OFFSET(p_obs,0,0,COUNTA(l_obs),1)</definedName>
    <definedName name="f_site">OFFSET(p_site,0,0,COUNTA(l_site),1)</definedName>
    <definedName name="f_taxon">OFFSET(p_taxon,0,0,COUNTA(l_taxon),1)</definedName>
    <definedName name="l_obs">Utilisateurs!$D$2:$D$23</definedName>
    <definedName name="l_site">Sites!$A$2:$A$128</definedName>
    <definedName name="l_taxon">Taxons!$A$2:$A$511</definedName>
    <definedName name="p_obs">Utilisateurs!$D$2</definedName>
    <definedName name="p_site">Sites!$A$2</definedName>
    <definedName name="p_taxon">Taxons!$A$2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3" i="7" l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2" i="7"/>
  <c r="M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2" i="7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L3" i="1"/>
  <c r="K3" i="1"/>
  <c r="D2" i="7" l="1"/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AC3" i="7"/>
  <c r="AD3" i="7"/>
  <c r="AE3" i="7"/>
  <c r="AF3" i="7"/>
  <c r="AC4" i="7"/>
  <c r="AD4" i="7"/>
  <c r="AE4" i="7"/>
  <c r="AF4" i="7"/>
  <c r="AC5" i="7"/>
  <c r="AD5" i="7"/>
  <c r="AE5" i="7"/>
  <c r="AF5" i="7"/>
  <c r="AC6" i="7"/>
  <c r="AD6" i="7"/>
  <c r="AE6" i="7"/>
  <c r="AF6" i="7"/>
  <c r="AC7" i="7"/>
  <c r="AD7" i="7"/>
  <c r="AE7" i="7"/>
  <c r="AF7" i="7"/>
  <c r="AC8" i="7"/>
  <c r="AD8" i="7"/>
  <c r="AE8" i="7"/>
  <c r="AF8" i="7"/>
  <c r="AC9" i="7"/>
  <c r="AD9" i="7"/>
  <c r="AE9" i="7"/>
  <c r="AF9" i="7"/>
  <c r="AC10" i="7"/>
  <c r="AD10" i="7"/>
  <c r="AE10" i="7"/>
  <c r="AF10" i="7"/>
  <c r="AC11" i="7"/>
  <c r="AD11" i="7"/>
  <c r="AE11" i="7"/>
  <c r="AF11" i="7"/>
  <c r="AC12" i="7"/>
  <c r="AD12" i="7"/>
  <c r="AE12" i="7"/>
  <c r="AF12" i="7"/>
  <c r="AC13" i="7"/>
  <c r="AD13" i="7"/>
  <c r="AE13" i="7"/>
  <c r="AF13" i="7"/>
  <c r="AC14" i="7"/>
  <c r="AD14" i="7"/>
  <c r="AE14" i="7"/>
  <c r="AF14" i="7"/>
  <c r="AC15" i="7"/>
  <c r="AD15" i="7"/>
  <c r="AE15" i="7"/>
  <c r="AF15" i="7"/>
  <c r="AC16" i="7"/>
  <c r="AD16" i="7"/>
  <c r="AE16" i="7"/>
  <c r="AF16" i="7"/>
  <c r="AC17" i="7"/>
  <c r="AD17" i="7"/>
  <c r="AE17" i="7"/>
  <c r="AF17" i="7"/>
  <c r="AC18" i="7"/>
  <c r="AD18" i="7"/>
  <c r="AE18" i="7"/>
  <c r="AF18" i="7"/>
  <c r="AC19" i="7"/>
  <c r="AD19" i="7"/>
  <c r="AE19" i="7"/>
  <c r="AF19" i="7"/>
  <c r="AC20" i="7"/>
  <c r="AD20" i="7"/>
  <c r="AE20" i="7"/>
  <c r="AF20" i="7"/>
  <c r="AC21" i="7"/>
  <c r="AD21" i="7"/>
  <c r="AE21" i="7"/>
  <c r="AF21" i="7"/>
  <c r="AC22" i="7"/>
  <c r="AD22" i="7"/>
  <c r="AE22" i="7"/>
  <c r="AF22" i="7"/>
  <c r="AC23" i="7"/>
  <c r="AD23" i="7"/>
  <c r="AE23" i="7"/>
  <c r="AF23" i="7"/>
  <c r="AC24" i="7"/>
  <c r="AD24" i="7"/>
  <c r="AE24" i="7"/>
  <c r="AF24" i="7"/>
  <c r="AC25" i="7"/>
  <c r="AD25" i="7"/>
  <c r="AE25" i="7"/>
  <c r="AF25" i="7"/>
  <c r="AC26" i="7"/>
  <c r="AD26" i="7"/>
  <c r="AE26" i="7"/>
  <c r="AF26" i="7"/>
  <c r="AC27" i="7"/>
  <c r="AD27" i="7"/>
  <c r="AE27" i="7"/>
  <c r="AF27" i="7"/>
  <c r="AC28" i="7"/>
  <c r="AD28" i="7"/>
  <c r="AE28" i="7"/>
  <c r="AF28" i="7"/>
  <c r="AC29" i="7"/>
  <c r="AD29" i="7"/>
  <c r="AE29" i="7"/>
  <c r="AF29" i="7"/>
  <c r="AC30" i="7"/>
  <c r="AD30" i="7"/>
  <c r="AE30" i="7"/>
  <c r="AF30" i="7"/>
  <c r="AC31" i="7"/>
  <c r="AD31" i="7"/>
  <c r="AE31" i="7"/>
  <c r="AF31" i="7"/>
  <c r="AC32" i="7"/>
  <c r="AD32" i="7"/>
  <c r="AE32" i="7"/>
  <c r="AF32" i="7"/>
  <c r="AC33" i="7"/>
  <c r="AD33" i="7"/>
  <c r="AE33" i="7"/>
  <c r="AF33" i="7"/>
  <c r="AC34" i="7"/>
  <c r="AD34" i="7"/>
  <c r="AE34" i="7"/>
  <c r="AF34" i="7"/>
  <c r="AC35" i="7"/>
  <c r="AD35" i="7"/>
  <c r="AE35" i="7"/>
  <c r="AF35" i="7"/>
  <c r="AC36" i="7"/>
  <c r="AD36" i="7"/>
  <c r="AE36" i="7"/>
  <c r="AF36" i="7"/>
  <c r="AC37" i="7"/>
  <c r="AD37" i="7"/>
  <c r="AE37" i="7"/>
  <c r="AF37" i="7"/>
  <c r="AC38" i="7"/>
  <c r="AD38" i="7"/>
  <c r="AE38" i="7"/>
  <c r="AF38" i="7"/>
  <c r="AC39" i="7"/>
  <c r="AD39" i="7"/>
  <c r="AE39" i="7"/>
  <c r="AF39" i="7"/>
  <c r="AC40" i="7"/>
  <c r="AD40" i="7"/>
  <c r="AE40" i="7"/>
  <c r="AF40" i="7"/>
  <c r="AC41" i="7"/>
  <c r="AD41" i="7"/>
  <c r="AE41" i="7"/>
  <c r="AF41" i="7"/>
  <c r="AC42" i="7"/>
  <c r="AD42" i="7"/>
  <c r="AE42" i="7"/>
  <c r="AF42" i="7"/>
  <c r="AC43" i="7"/>
  <c r="AD43" i="7"/>
  <c r="AE43" i="7"/>
  <c r="AF43" i="7"/>
  <c r="AC44" i="7"/>
  <c r="AD44" i="7"/>
  <c r="AE44" i="7"/>
  <c r="AF44" i="7"/>
  <c r="AC45" i="7"/>
  <c r="AD45" i="7"/>
  <c r="AE45" i="7"/>
  <c r="AF45" i="7"/>
  <c r="AC46" i="7"/>
  <c r="AD46" i="7"/>
  <c r="AE46" i="7"/>
  <c r="AF46" i="7"/>
  <c r="AC47" i="7"/>
  <c r="AD47" i="7"/>
  <c r="AE47" i="7"/>
  <c r="AF47" i="7"/>
  <c r="AC48" i="7"/>
  <c r="AD48" i="7"/>
  <c r="AE48" i="7"/>
  <c r="AF48" i="7"/>
  <c r="AC49" i="7"/>
  <c r="AD49" i="7"/>
  <c r="AE49" i="7"/>
  <c r="AF49" i="7"/>
  <c r="AC50" i="7"/>
  <c r="AD50" i="7"/>
  <c r="AE50" i="7"/>
  <c r="AF50" i="7"/>
  <c r="AC51" i="7"/>
  <c r="AD51" i="7"/>
  <c r="AE51" i="7"/>
  <c r="AF51" i="7"/>
  <c r="AC52" i="7"/>
  <c r="AD52" i="7"/>
  <c r="AE52" i="7"/>
  <c r="AF52" i="7"/>
  <c r="AC53" i="7"/>
  <c r="AD53" i="7"/>
  <c r="AE53" i="7"/>
  <c r="AF53" i="7"/>
  <c r="AC54" i="7"/>
  <c r="AD54" i="7"/>
  <c r="AE54" i="7"/>
  <c r="AF54" i="7"/>
  <c r="AC55" i="7"/>
  <c r="AD55" i="7"/>
  <c r="AE55" i="7"/>
  <c r="AF55" i="7"/>
  <c r="AC56" i="7"/>
  <c r="AD56" i="7"/>
  <c r="AE56" i="7"/>
  <c r="AF56" i="7"/>
  <c r="AC57" i="7"/>
  <c r="AD57" i="7"/>
  <c r="AE57" i="7"/>
  <c r="AF57" i="7"/>
  <c r="AC58" i="7"/>
  <c r="AD58" i="7"/>
  <c r="AE58" i="7"/>
  <c r="AF58" i="7"/>
  <c r="AC59" i="7"/>
  <c r="AD59" i="7"/>
  <c r="AE59" i="7"/>
  <c r="AF59" i="7"/>
  <c r="AC60" i="7"/>
  <c r="AD60" i="7"/>
  <c r="AE60" i="7"/>
  <c r="AF60" i="7"/>
  <c r="AC61" i="7"/>
  <c r="AD61" i="7"/>
  <c r="AE61" i="7"/>
  <c r="AF61" i="7"/>
  <c r="AC62" i="7"/>
  <c r="AD62" i="7"/>
  <c r="AE62" i="7"/>
  <c r="AF62" i="7"/>
  <c r="AC63" i="7"/>
  <c r="AD63" i="7"/>
  <c r="AE63" i="7"/>
  <c r="AF63" i="7"/>
  <c r="AC64" i="7"/>
  <c r="AD64" i="7"/>
  <c r="AE64" i="7"/>
  <c r="AF64" i="7"/>
  <c r="AC65" i="7"/>
  <c r="AD65" i="7"/>
  <c r="AE65" i="7"/>
  <c r="AF65" i="7"/>
  <c r="AC66" i="7"/>
  <c r="AD66" i="7"/>
  <c r="AE66" i="7"/>
  <c r="AF66" i="7"/>
  <c r="AC67" i="7"/>
  <c r="AD67" i="7"/>
  <c r="AE67" i="7"/>
  <c r="AF67" i="7"/>
  <c r="AC68" i="7"/>
  <c r="AD68" i="7"/>
  <c r="AE68" i="7"/>
  <c r="AF68" i="7"/>
  <c r="AC69" i="7"/>
  <c r="AD69" i="7"/>
  <c r="AE69" i="7"/>
  <c r="AF69" i="7"/>
  <c r="AC70" i="7"/>
  <c r="AD70" i="7"/>
  <c r="AE70" i="7"/>
  <c r="AF70" i="7"/>
  <c r="AC71" i="7"/>
  <c r="AD71" i="7"/>
  <c r="AE71" i="7"/>
  <c r="AF71" i="7"/>
  <c r="AC72" i="7"/>
  <c r="AD72" i="7"/>
  <c r="AE72" i="7"/>
  <c r="AF72" i="7"/>
  <c r="AC73" i="7"/>
  <c r="AD73" i="7"/>
  <c r="AE73" i="7"/>
  <c r="AF73" i="7"/>
  <c r="AC74" i="7"/>
  <c r="AD74" i="7"/>
  <c r="AE74" i="7"/>
  <c r="AF74" i="7"/>
  <c r="AC75" i="7"/>
  <c r="AD75" i="7"/>
  <c r="AE75" i="7"/>
  <c r="AF75" i="7"/>
  <c r="AC76" i="7"/>
  <c r="AD76" i="7"/>
  <c r="AE76" i="7"/>
  <c r="AF76" i="7"/>
  <c r="AC77" i="7"/>
  <c r="AD77" i="7"/>
  <c r="AE77" i="7"/>
  <c r="AF77" i="7"/>
  <c r="AC78" i="7"/>
  <c r="AD78" i="7"/>
  <c r="AE78" i="7"/>
  <c r="AF78" i="7"/>
  <c r="AC79" i="7"/>
  <c r="AD79" i="7"/>
  <c r="AE79" i="7"/>
  <c r="AF79" i="7"/>
  <c r="AC80" i="7"/>
  <c r="AD80" i="7"/>
  <c r="AE80" i="7"/>
  <c r="AF80" i="7"/>
  <c r="AC81" i="7"/>
  <c r="AD81" i="7"/>
  <c r="AE81" i="7"/>
  <c r="AF81" i="7"/>
  <c r="AC82" i="7"/>
  <c r="AD82" i="7"/>
  <c r="AE82" i="7"/>
  <c r="AF82" i="7"/>
  <c r="AC83" i="7"/>
  <c r="AD83" i="7"/>
  <c r="AE83" i="7"/>
  <c r="AF83" i="7"/>
  <c r="AC84" i="7"/>
  <c r="AD84" i="7"/>
  <c r="AE84" i="7"/>
  <c r="AF84" i="7"/>
  <c r="AC85" i="7"/>
  <c r="AD85" i="7"/>
  <c r="AE85" i="7"/>
  <c r="AF85" i="7"/>
  <c r="AC86" i="7"/>
  <c r="AD86" i="7"/>
  <c r="AE86" i="7"/>
  <c r="AF86" i="7"/>
  <c r="AC87" i="7"/>
  <c r="AD87" i="7"/>
  <c r="AE87" i="7"/>
  <c r="AF87" i="7"/>
  <c r="AC88" i="7"/>
  <c r="AD88" i="7"/>
  <c r="AE88" i="7"/>
  <c r="AF88" i="7"/>
  <c r="AC89" i="7"/>
  <c r="AD89" i="7"/>
  <c r="AE89" i="7"/>
  <c r="AF89" i="7"/>
  <c r="AC90" i="7"/>
  <c r="AD90" i="7"/>
  <c r="AE90" i="7"/>
  <c r="AF90" i="7"/>
  <c r="AC91" i="7"/>
  <c r="AD91" i="7"/>
  <c r="AE91" i="7"/>
  <c r="AF91" i="7"/>
  <c r="AC92" i="7"/>
  <c r="AD92" i="7"/>
  <c r="AE92" i="7"/>
  <c r="AF92" i="7"/>
  <c r="AC93" i="7"/>
  <c r="AD93" i="7"/>
  <c r="AE93" i="7"/>
  <c r="AF93" i="7"/>
  <c r="AC94" i="7"/>
  <c r="AD94" i="7"/>
  <c r="AE94" i="7"/>
  <c r="AF94" i="7"/>
  <c r="AC95" i="7"/>
  <c r="AD95" i="7"/>
  <c r="AE95" i="7"/>
  <c r="AF95" i="7"/>
  <c r="AC96" i="7"/>
  <c r="AD96" i="7"/>
  <c r="AE96" i="7"/>
  <c r="AF96" i="7"/>
  <c r="AC97" i="7"/>
  <c r="AD97" i="7"/>
  <c r="AE97" i="7"/>
  <c r="AF97" i="7"/>
  <c r="AC98" i="7"/>
  <c r="AD98" i="7"/>
  <c r="AE98" i="7"/>
  <c r="AF98" i="7"/>
  <c r="AC99" i="7"/>
  <c r="AD99" i="7"/>
  <c r="AE99" i="7"/>
  <c r="AF99" i="7"/>
  <c r="AC100" i="7"/>
  <c r="AD100" i="7"/>
  <c r="AE100" i="7"/>
  <c r="AF100" i="7"/>
  <c r="AC101" i="7"/>
  <c r="AD101" i="7"/>
  <c r="AE101" i="7"/>
  <c r="AF101" i="7"/>
  <c r="AC102" i="7"/>
  <c r="AD102" i="7"/>
  <c r="AE102" i="7"/>
  <c r="AF102" i="7"/>
  <c r="AC103" i="7"/>
  <c r="AD103" i="7"/>
  <c r="AE103" i="7"/>
  <c r="AF103" i="7"/>
  <c r="AC104" i="7"/>
  <c r="AD104" i="7"/>
  <c r="AE104" i="7"/>
  <c r="AF104" i="7"/>
  <c r="AC105" i="7"/>
  <c r="AD105" i="7"/>
  <c r="AE105" i="7"/>
  <c r="AF105" i="7"/>
  <c r="AC106" i="7"/>
  <c r="AD106" i="7"/>
  <c r="AE106" i="7"/>
  <c r="AF106" i="7"/>
  <c r="AC107" i="7"/>
  <c r="AD107" i="7"/>
  <c r="AE107" i="7"/>
  <c r="AF107" i="7"/>
  <c r="AC108" i="7"/>
  <c r="AD108" i="7"/>
  <c r="AE108" i="7"/>
  <c r="AF108" i="7"/>
  <c r="AC109" i="7"/>
  <c r="AD109" i="7"/>
  <c r="AE109" i="7"/>
  <c r="AF109" i="7"/>
  <c r="AC110" i="7"/>
  <c r="AD110" i="7"/>
  <c r="AE110" i="7"/>
  <c r="AF110" i="7"/>
  <c r="AC111" i="7"/>
  <c r="AD111" i="7"/>
  <c r="AE111" i="7"/>
  <c r="AF111" i="7"/>
  <c r="AC112" i="7"/>
  <c r="AD112" i="7"/>
  <c r="AE112" i="7"/>
  <c r="AF112" i="7"/>
  <c r="AC113" i="7"/>
  <c r="AD113" i="7"/>
  <c r="AE113" i="7"/>
  <c r="AF113" i="7"/>
  <c r="AC114" i="7"/>
  <c r="AD114" i="7"/>
  <c r="AE114" i="7"/>
  <c r="AF114" i="7"/>
  <c r="AC115" i="7"/>
  <c r="AD115" i="7"/>
  <c r="AE115" i="7"/>
  <c r="AF115" i="7"/>
  <c r="AC116" i="7"/>
  <c r="AD116" i="7"/>
  <c r="AE116" i="7"/>
  <c r="AF116" i="7"/>
  <c r="AC117" i="7"/>
  <c r="AD117" i="7"/>
  <c r="AE117" i="7"/>
  <c r="AF117" i="7"/>
  <c r="AC118" i="7"/>
  <c r="AD118" i="7"/>
  <c r="AE118" i="7"/>
  <c r="AF118" i="7"/>
  <c r="AC119" i="7"/>
  <c r="AD119" i="7"/>
  <c r="AE119" i="7"/>
  <c r="AF119" i="7"/>
  <c r="AC120" i="7"/>
  <c r="AD120" i="7"/>
  <c r="AE120" i="7"/>
  <c r="AF120" i="7"/>
  <c r="AC121" i="7"/>
  <c r="AD121" i="7"/>
  <c r="AE121" i="7"/>
  <c r="AF121" i="7"/>
  <c r="AC122" i="7"/>
  <c r="AD122" i="7"/>
  <c r="AE122" i="7"/>
  <c r="AF122" i="7"/>
  <c r="AC123" i="7"/>
  <c r="AD123" i="7"/>
  <c r="AE123" i="7"/>
  <c r="AF123" i="7"/>
  <c r="AC124" i="7"/>
  <c r="AD124" i="7"/>
  <c r="AE124" i="7"/>
  <c r="AF124" i="7"/>
  <c r="AC125" i="7"/>
  <c r="AD125" i="7"/>
  <c r="AE125" i="7"/>
  <c r="AF125" i="7"/>
  <c r="AC126" i="7"/>
  <c r="AD126" i="7"/>
  <c r="AE126" i="7"/>
  <c r="AF126" i="7"/>
  <c r="AC127" i="7"/>
  <c r="AD127" i="7"/>
  <c r="AE127" i="7"/>
  <c r="AF127" i="7"/>
  <c r="AC128" i="7"/>
  <c r="AD128" i="7"/>
  <c r="AE128" i="7"/>
  <c r="AF128" i="7"/>
  <c r="AC129" i="7"/>
  <c r="AD129" i="7"/>
  <c r="AE129" i="7"/>
  <c r="AF129" i="7"/>
  <c r="AC130" i="7"/>
  <c r="AD130" i="7"/>
  <c r="AE130" i="7"/>
  <c r="AF130" i="7"/>
  <c r="AC131" i="7"/>
  <c r="AD131" i="7"/>
  <c r="AE131" i="7"/>
  <c r="AF131" i="7"/>
  <c r="AC132" i="7"/>
  <c r="AD132" i="7"/>
  <c r="AE132" i="7"/>
  <c r="AF132" i="7"/>
  <c r="AC133" i="7"/>
  <c r="AD133" i="7"/>
  <c r="AE133" i="7"/>
  <c r="AF133" i="7"/>
  <c r="AC134" i="7"/>
  <c r="AD134" i="7"/>
  <c r="AE134" i="7"/>
  <c r="AF134" i="7"/>
  <c r="AC135" i="7"/>
  <c r="AD135" i="7"/>
  <c r="AE135" i="7"/>
  <c r="AF135" i="7"/>
  <c r="AC136" i="7"/>
  <c r="AD136" i="7"/>
  <c r="AE136" i="7"/>
  <c r="AF136" i="7"/>
  <c r="AC137" i="7"/>
  <c r="AD137" i="7"/>
  <c r="AE137" i="7"/>
  <c r="AF137" i="7"/>
  <c r="AC138" i="7"/>
  <c r="AD138" i="7"/>
  <c r="AE138" i="7"/>
  <c r="AF138" i="7"/>
  <c r="AC139" i="7"/>
  <c r="AD139" i="7"/>
  <c r="AE139" i="7"/>
  <c r="AF139" i="7"/>
  <c r="AC140" i="7"/>
  <c r="AD140" i="7"/>
  <c r="AE140" i="7"/>
  <c r="AF140" i="7"/>
  <c r="AC141" i="7"/>
  <c r="AD141" i="7"/>
  <c r="AE141" i="7"/>
  <c r="AF141" i="7"/>
  <c r="AC142" i="7"/>
  <c r="AD142" i="7"/>
  <c r="AE142" i="7"/>
  <c r="AF142" i="7"/>
  <c r="AC143" i="7"/>
  <c r="AD143" i="7"/>
  <c r="AE143" i="7"/>
  <c r="AF143" i="7"/>
  <c r="AC144" i="7"/>
  <c r="AD144" i="7"/>
  <c r="AE144" i="7"/>
  <c r="AF144" i="7"/>
  <c r="AC145" i="7"/>
  <c r="AD145" i="7"/>
  <c r="AE145" i="7"/>
  <c r="AF145" i="7"/>
  <c r="AC146" i="7"/>
  <c r="AD146" i="7"/>
  <c r="AE146" i="7"/>
  <c r="AF146" i="7"/>
  <c r="AC147" i="7"/>
  <c r="AD147" i="7"/>
  <c r="AE147" i="7"/>
  <c r="AF147" i="7"/>
  <c r="AC148" i="7"/>
  <c r="AD148" i="7"/>
  <c r="AE148" i="7"/>
  <c r="AF148" i="7"/>
  <c r="AC149" i="7"/>
  <c r="AD149" i="7"/>
  <c r="AE149" i="7"/>
  <c r="AF149" i="7"/>
  <c r="AC150" i="7"/>
  <c r="AD150" i="7"/>
  <c r="AE150" i="7"/>
  <c r="AF150" i="7"/>
  <c r="AC151" i="7"/>
  <c r="AD151" i="7"/>
  <c r="AE151" i="7"/>
  <c r="AF151" i="7"/>
  <c r="AC152" i="7"/>
  <c r="AD152" i="7"/>
  <c r="AE152" i="7"/>
  <c r="AF152" i="7"/>
  <c r="AC153" i="7"/>
  <c r="AD153" i="7"/>
  <c r="AE153" i="7"/>
  <c r="AF153" i="7"/>
  <c r="AC154" i="7"/>
  <c r="AD154" i="7"/>
  <c r="AE154" i="7"/>
  <c r="AF154" i="7"/>
  <c r="AC155" i="7"/>
  <c r="AD155" i="7"/>
  <c r="AE155" i="7"/>
  <c r="AF155" i="7"/>
  <c r="AC156" i="7"/>
  <c r="AD156" i="7"/>
  <c r="AE156" i="7"/>
  <c r="AF156" i="7"/>
  <c r="AC157" i="7"/>
  <c r="AD157" i="7"/>
  <c r="AE157" i="7"/>
  <c r="AF157" i="7"/>
  <c r="AC158" i="7"/>
  <c r="AD158" i="7"/>
  <c r="AE158" i="7"/>
  <c r="AF158" i="7"/>
  <c r="AC159" i="7"/>
  <c r="AD159" i="7"/>
  <c r="AE159" i="7"/>
  <c r="AF159" i="7"/>
  <c r="AC160" i="7"/>
  <c r="AD160" i="7"/>
  <c r="AE160" i="7"/>
  <c r="AF160" i="7"/>
  <c r="AC161" i="7"/>
  <c r="AD161" i="7"/>
  <c r="AE161" i="7"/>
  <c r="AF161" i="7"/>
  <c r="AC162" i="7"/>
  <c r="AD162" i="7"/>
  <c r="AE162" i="7"/>
  <c r="AF162" i="7"/>
  <c r="AC163" i="7"/>
  <c r="AD163" i="7"/>
  <c r="AE163" i="7"/>
  <c r="AF163" i="7"/>
  <c r="AC164" i="7"/>
  <c r="AD164" i="7"/>
  <c r="AE164" i="7"/>
  <c r="AF164" i="7"/>
  <c r="AC165" i="7"/>
  <c r="AD165" i="7"/>
  <c r="AE165" i="7"/>
  <c r="AF165" i="7"/>
  <c r="AC166" i="7"/>
  <c r="AD166" i="7"/>
  <c r="AE166" i="7"/>
  <c r="AF166" i="7"/>
  <c r="AC167" i="7"/>
  <c r="AD167" i="7"/>
  <c r="AE167" i="7"/>
  <c r="AF167" i="7"/>
  <c r="AC168" i="7"/>
  <c r="AD168" i="7"/>
  <c r="AE168" i="7"/>
  <c r="AF168" i="7"/>
  <c r="AC169" i="7"/>
  <c r="AD169" i="7"/>
  <c r="AE169" i="7"/>
  <c r="AF169" i="7"/>
  <c r="AC170" i="7"/>
  <c r="AD170" i="7"/>
  <c r="AE170" i="7"/>
  <c r="AF170" i="7"/>
  <c r="AC2" i="7"/>
  <c r="AD2" i="7"/>
  <c r="AF2" i="7"/>
  <c r="AE2" i="7"/>
  <c r="A3" i="7"/>
  <c r="B3" i="7"/>
  <c r="C3" i="7"/>
  <c r="E3" i="7"/>
  <c r="F3" i="7"/>
  <c r="G3" i="7"/>
  <c r="H3" i="7"/>
  <c r="I3" i="7"/>
  <c r="L3" i="7"/>
  <c r="M3" i="7"/>
  <c r="N3" i="7"/>
  <c r="O3" i="7"/>
  <c r="P3" i="7"/>
  <c r="Q3" i="7"/>
  <c r="T3" i="7"/>
  <c r="U3" i="7"/>
  <c r="V3" i="7"/>
  <c r="W3" i="7"/>
  <c r="X3" i="7"/>
  <c r="Y3" i="7"/>
  <c r="Z3" i="7"/>
  <c r="AA3" i="7"/>
  <c r="AB3" i="7"/>
  <c r="A4" i="7"/>
  <c r="B4" i="7"/>
  <c r="C4" i="7"/>
  <c r="E4" i="7"/>
  <c r="F4" i="7"/>
  <c r="G4" i="7"/>
  <c r="H4" i="7"/>
  <c r="I4" i="7"/>
  <c r="L4" i="7"/>
  <c r="M4" i="7"/>
  <c r="N4" i="7"/>
  <c r="O4" i="7"/>
  <c r="P4" i="7"/>
  <c r="Q4" i="7"/>
  <c r="T4" i="7"/>
  <c r="U4" i="7"/>
  <c r="V4" i="7"/>
  <c r="W4" i="7"/>
  <c r="X4" i="7"/>
  <c r="Y4" i="7"/>
  <c r="Z4" i="7"/>
  <c r="AA4" i="7"/>
  <c r="AB4" i="7"/>
  <c r="A5" i="7"/>
  <c r="B5" i="7"/>
  <c r="C5" i="7"/>
  <c r="E5" i="7"/>
  <c r="F5" i="7"/>
  <c r="G5" i="7"/>
  <c r="H5" i="7"/>
  <c r="I5" i="7"/>
  <c r="L5" i="7"/>
  <c r="M5" i="7"/>
  <c r="N5" i="7"/>
  <c r="O5" i="7"/>
  <c r="P5" i="7"/>
  <c r="Q5" i="7"/>
  <c r="T5" i="7"/>
  <c r="U5" i="7"/>
  <c r="V5" i="7"/>
  <c r="W5" i="7"/>
  <c r="X5" i="7"/>
  <c r="Y5" i="7"/>
  <c r="Z5" i="7"/>
  <c r="AA5" i="7"/>
  <c r="AB5" i="7"/>
  <c r="A6" i="7"/>
  <c r="B6" i="7"/>
  <c r="C6" i="7"/>
  <c r="E6" i="7"/>
  <c r="F6" i="7"/>
  <c r="G6" i="7"/>
  <c r="H6" i="7"/>
  <c r="I6" i="7"/>
  <c r="L6" i="7"/>
  <c r="M6" i="7"/>
  <c r="N6" i="7"/>
  <c r="O6" i="7"/>
  <c r="P6" i="7"/>
  <c r="Q6" i="7"/>
  <c r="T6" i="7"/>
  <c r="U6" i="7"/>
  <c r="V6" i="7"/>
  <c r="W6" i="7"/>
  <c r="X6" i="7"/>
  <c r="Y6" i="7"/>
  <c r="Z6" i="7"/>
  <c r="AA6" i="7"/>
  <c r="AB6" i="7"/>
  <c r="A7" i="7"/>
  <c r="B7" i="7"/>
  <c r="C7" i="7"/>
  <c r="E7" i="7"/>
  <c r="F7" i="7"/>
  <c r="G7" i="7"/>
  <c r="H7" i="7"/>
  <c r="I7" i="7"/>
  <c r="L7" i="7"/>
  <c r="M7" i="7"/>
  <c r="N7" i="7"/>
  <c r="O7" i="7"/>
  <c r="P7" i="7"/>
  <c r="Q7" i="7"/>
  <c r="T7" i="7"/>
  <c r="U7" i="7"/>
  <c r="V7" i="7"/>
  <c r="W7" i="7"/>
  <c r="X7" i="7"/>
  <c r="Y7" i="7"/>
  <c r="Z7" i="7"/>
  <c r="AA7" i="7"/>
  <c r="AB7" i="7"/>
  <c r="A8" i="7"/>
  <c r="B8" i="7"/>
  <c r="C8" i="7"/>
  <c r="E8" i="7"/>
  <c r="F8" i="7"/>
  <c r="G8" i="7"/>
  <c r="H8" i="7"/>
  <c r="I8" i="7"/>
  <c r="L8" i="7"/>
  <c r="M8" i="7"/>
  <c r="N8" i="7"/>
  <c r="O8" i="7"/>
  <c r="P8" i="7"/>
  <c r="Q8" i="7"/>
  <c r="T8" i="7"/>
  <c r="U8" i="7"/>
  <c r="V8" i="7"/>
  <c r="W8" i="7"/>
  <c r="X8" i="7"/>
  <c r="Y8" i="7"/>
  <c r="Z8" i="7"/>
  <c r="AA8" i="7"/>
  <c r="AB8" i="7"/>
  <c r="A9" i="7"/>
  <c r="B9" i="7"/>
  <c r="C9" i="7"/>
  <c r="E9" i="7"/>
  <c r="F9" i="7"/>
  <c r="G9" i="7"/>
  <c r="H9" i="7"/>
  <c r="I9" i="7"/>
  <c r="L9" i="7"/>
  <c r="M9" i="7"/>
  <c r="N9" i="7"/>
  <c r="O9" i="7"/>
  <c r="P9" i="7"/>
  <c r="Q9" i="7"/>
  <c r="T9" i="7"/>
  <c r="U9" i="7"/>
  <c r="V9" i="7"/>
  <c r="W9" i="7"/>
  <c r="X9" i="7"/>
  <c r="Y9" i="7"/>
  <c r="Z9" i="7"/>
  <c r="AA9" i="7"/>
  <c r="AB9" i="7"/>
  <c r="A10" i="7"/>
  <c r="B10" i="7"/>
  <c r="C10" i="7"/>
  <c r="E10" i="7"/>
  <c r="F10" i="7"/>
  <c r="G10" i="7"/>
  <c r="H10" i="7"/>
  <c r="I10" i="7"/>
  <c r="L10" i="7"/>
  <c r="M10" i="7"/>
  <c r="N10" i="7"/>
  <c r="O10" i="7"/>
  <c r="P10" i="7"/>
  <c r="Q10" i="7"/>
  <c r="T10" i="7"/>
  <c r="U10" i="7"/>
  <c r="V10" i="7"/>
  <c r="W10" i="7"/>
  <c r="X10" i="7"/>
  <c r="Y10" i="7"/>
  <c r="Z10" i="7"/>
  <c r="AA10" i="7"/>
  <c r="AB10" i="7"/>
  <c r="A11" i="7"/>
  <c r="B11" i="7"/>
  <c r="C11" i="7"/>
  <c r="E11" i="7"/>
  <c r="F11" i="7"/>
  <c r="G11" i="7"/>
  <c r="H11" i="7"/>
  <c r="I11" i="7"/>
  <c r="L11" i="7"/>
  <c r="M11" i="7"/>
  <c r="N11" i="7"/>
  <c r="O11" i="7"/>
  <c r="P11" i="7"/>
  <c r="Q11" i="7"/>
  <c r="T11" i="7"/>
  <c r="U11" i="7"/>
  <c r="V11" i="7"/>
  <c r="W11" i="7"/>
  <c r="X11" i="7"/>
  <c r="Y11" i="7"/>
  <c r="Z11" i="7"/>
  <c r="AA11" i="7"/>
  <c r="AB11" i="7"/>
  <c r="A12" i="7"/>
  <c r="B12" i="7"/>
  <c r="C12" i="7"/>
  <c r="E12" i="7"/>
  <c r="F12" i="7"/>
  <c r="G12" i="7"/>
  <c r="H12" i="7"/>
  <c r="I12" i="7"/>
  <c r="L12" i="7"/>
  <c r="M12" i="7"/>
  <c r="N12" i="7"/>
  <c r="O12" i="7"/>
  <c r="P12" i="7"/>
  <c r="Q12" i="7"/>
  <c r="T12" i="7"/>
  <c r="U12" i="7"/>
  <c r="V12" i="7"/>
  <c r="W12" i="7"/>
  <c r="X12" i="7"/>
  <c r="Y12" i="7"/>
  <c r="Z12" i="7"/>
  <c r="AA12" i="7"/>
  <c r="AB12" i="7"/>
  <c r="A13" i="7"/>
  <c r="B13" i="7"/>
  <c r="C13" i="7"/>
  <c r="E13" i="7"/>
  <c r="F13" i="7"/>
  <c r="G13" i="7"/>
  <c r="H13" i="7"/>
  <c r="I13" i="7"/>
  <c r="L13" i="7"/>
  <c r="M13" i="7"/>
  <c r="N13" i="7"/>
  <c r="O13" i="7"/>
  <c r="P13" i="7"/>
  <c r="Q13" i="7"/>
  <c r="T13" i="7"/>
  <c r="U13" i="7"/>
  <c r="V13" i="7"/>
  <c r="W13" i="7"/>
  <c r="X13" i="7"/>
  <c r="Y13" i="7"/>
  <c r="Z13" i="7"/>
  <c r="AA13" i="7"/>
  <c r="AB13" i="7"/>
  <c r="A14" i="7"/>
  <c r="B14" i="7"/>
  <c r="C14" i="7"/>
  <c r="E14" i="7"/>
  <c r="F14" i="7"/>
  <c r="G14" i="7"/>
  <c r="H14" i="7"/>
  <c r="I14" i="7"/>
  <c r="L14" i="7"/>
  <c r="M14" i="7"/>
  <c r="N14" i="7"/>
  <c r="O14" i="7"/>
  <c r="P14" i="7"/>
  <c r="Q14" i="7"/>
  <c r="T14" i="7"/>
  <c r="U14" i="7"/>
  <c r="V14" i="7"/>
  <c r="W14" i="7"/>
  <c r="X14" i="7"/>
  <c r="Y14" i="7"/>
  <c r="Z14" i="7"/>
  <c r="AA14" i="7"/>
  <c r="AB14" i="7"/>
  <c r="A15" i="7"/>
  <c r="B15" i="7"/>
  <c r="C15" i="7"/>
  <c r="E15" i="7"/>
  <c r="F15" i="7"/>
  <c r="G15" i="7"/>
  <c r="H15" i="7"/>
  <c r="I15" i="7"/>
  <c r="L15" i="7"/>
  <c r="M15" i="7"/>
  <c r="N15" i="7"/>
  <c r="O15" i="7"/>
  <c r="P15" i="7"/>
  <c r="Q15" i="7"/>
  <c r="T15" i="7"/>
  <c r="U15" i="7"/>
  <c r="V15" i="7"/>
  <c r="W15" i="7"/>
  <c r="X15" i="7"/>
  <c r="Y15" i="7"/>
  <c r="Z15" i="7"/>
  <c r="AA15" i="7"/>
  <c r="AB15" i="7"/>
  <c r="A16" i="7"/>
  <c r="B16" i="7"/>
  <c r="C16" i="7"/>
  <c r="E16" i="7"/>
  <c r="F16" i="7"/>
  <c r="G16" i="7"/>
  <c r="H16" i="7"/>
  <c r="I16" i="7"/>
  <c r="L16" i="7"/>
  <c r="M16" i="7"/>
  <c r="N16" i="7"/>
  <c r="O16" i="7"/>
  <c r="P16" i="7"/>
  <c r="Q16" i="7"/>
  <c r="T16" i="7"/>
  <c r="U16" i="7"/>
  <c r="V16" i="7"/>
  <c r="W16" i="7"/>
  <c r="X16" i="7"/>
  <c r="Y16" i="7"/>
  <c r="Z16" i="7"/>
  <c r="AA16" i="7"/>
  <c r="AB16" i="7"/>
  <c r="A17" i="7"/>
  <c r="B17" i="7"/>
  <c r="C17" i="7"/>
  <c r="E17" i="7"/>
  <c r="F17" i="7"/>
  <c r="G17" i="7"/>
  <c r="H17" i="7"/>
  <c r="I17" i="7"/>
  <c r="L17" i="7"/>
  <c r="M17" i="7"/>
  <c r="N17" i="7"/>
  <c r="O17" i="7"/>
  <c r="P17" i="7"/>
  <c r="Q17" i="7"/>
  <c r="T17" i="7"/>
  <c r="U17" i="7"/>
  <c r="V17" i="7"/>
  <c r="W17" i="7"/>
  <c r="X17" i="7"/>
  <c r="Y17" i="7"/>
  <c r="Z17" i="7"/>
  <c r="AA17" i="7"/>
  <c r="AB17" i="7"/>
  <c r="A18" i="7"/>
  <c r="B18" i="7"/>
  <c r="C18" i="7"/>
  <c r="E18" i="7"/>
  <c r="F18" i="7"/>
  <c r="G18" i="7"/>
  <c r="H18" i="7"/>
  <c r="I18" i="7"/>
  <c r="L18" i="7"/>
  <c r="M18" i="7"/>
  <c r="N18" i="7"/>
  <c r="O18" i="7"/>
  <c r="P18" i="7"/>
  <c r="Q18" i="7"/>
  <c r="T18" i="7"/>
  <c r="U18" i="7"/>
  <c r="V18" i="7"/>
  <c r="W18" i="7"/>
  <c r="X18" i="7"/>
  <c r="Y18" i="7"/>
  <c r="Z18" i="7"/>
  <c r="AA18" i="7"/>
  <c r="AB18" i="7"/>
  <c r="A19" i="7"/>
  <c r="B19" i="7"/>
  <c r="C19" i="7"/>
  <c r="E19" i="7"/>
  <c r="F19" i="7"/>
  <c r="G19" i="7"/>
  <c r="H19" i="7"/>
  <c r="I19" i="7"/>
  <c r="L19" i="7"/>
  <c r="M19" i="7"/>
  <c r="N19" i="7"/>
  <c r="O19" i="7"/>
  <c r="P19" i="7"/>
  <c r="Q19" i="7"/>
  <c r="T19" i="7"/>
  <c r="U19" i="7"/>
  <c r="V19" i="7"/>
  <c r="W19" i="7"/>
  <c r="X19" i="7"/>
  <c r="Y19" i="7"/>
  <c r="Z19" i="7"/>
  <c r="AA19" i="7"/>
  <c r="AB19" i="7"/>
  <c r="A20" i="7"/>
  <c r="B20" i="7"/>
  <c r="C20" i="7"/>
  <c r="E20" i="7"/>
  <c r="F20" i="7"/>
  <c r="G20" i="7"/>
  <c r="H20" i="7"/>
  <c r="I20" i="7"/>
  <c r="L20" i="7"/>
  <c r="M20" i="7"/>
  <c r="N20" i="7"/>
  <c r="O20" i="7"/>
  <c r="P20" i="7"/>
  <c r="Q20" i="7"/>
  <c r="T20" i="7"/>
  <c r="U20" i="7"/>
  <c r="V20" i="7"/>
  <c r="W20" i="7"/>
  <c r="X20" i="7"/>
  <c r="Y20" i="7"/>
  <c r="Z20" i="7"/>
  <c r="AA20" i="7"/>
  <c r="AB20" i="7"/>
  <c r="A21" i="7"/>
  <c r="B21" i="7"/>
  <c r="C21" i="7"/>
  <c r="E21" i="7"/>
  <c r="F21" i="7"/>
  <c r="G21" i="7"/>
  <c r="H21" i="7"/>
  <c r="I21" i="7"/>
  <c r="L21" i="7"/>
  <c r="M21" i="7"/>
  <c r="N21" i="7"/>
  <c r="O21" i="7"/>
  <c r="P21" i="7"/>
  <c r="Q21" i="7"/>
  <c r="T21" i="7"/>
  <c r="U21" i="7"/>
  <c r="V21" i="7"/>
  <c r="W21" i="7"/>
  <c r="X21" i="7"/>
  <c r="Y21" i="7"/>
  <c r="Z21" i="7"/>
  <c r="AA21" i="7"/>
  <c r="AB21" i="7"/>
  <c r="A22" i="7"/>
  <c r="B22" i="7"/>
  <c r="C22" i="7"/>
  <c r="E22" i="7"/>
  <c r="F22" i="7"/>
  <c r="G22" i="7"/>
  <c r="H22" i="7"/>
  <c r="I22" i="7"/>
  <c r="L22" i="7"/>
  <c r="M22" i="7"/>
  <c r="N22" i="7"/>
  <c r="O22" i="7"/>
  <c r="P22" i="7"/>
  <c r="Q22" i="7"/>
  <c r="T22" i="7"/>
  <c r="U22" i="7"/>
  <c r="V22" i="7"/>
  <c r="W22" i="7"/>
  <c r="X22" i="7"/>
  <c r="Y22" i="7"/>
  <c r="Z22" i="7"/>
  <c r="AA22" i="7"/>
  <c r="AB22" i="7"/>
  <c r="A23" i="7"/>
  <c r="B23" i="7"/>
  <c r="C23" i="7"/>
  <c r="E23" i="7"/>
  <c r="F23" i="7"/>
  <c r="G23" i="7"/>
  <c r="H23" i="7"/>
  <c r="I23" i="7"/>
  <c r="L23" i="7"/>
  <c r="M23" i="7"/>
  <c r="N23" i="7"/>
  <c r="O23" i="7"/>
  <c r="P23" i="7"/>
  <c r="Q23" i="7"/>
  <c r="T23" i="7"/>
  <c r="U23" i="7"/>
  <c r="V23" i="7"/>
  <c r="W23" i="7"/>
  <c r="X23" i="7"/>
  <c r="Y23" i="7"/>
  <c r="Z23" i="7"/>
  <c r="AA23" i="7"/>
  <c r="AB23" i="7"/>
  <c r="A24" i="7"/>
  <c r="B24" i="7"/>
  <c r="C24" i="7"/>
  <c r="E24" i="7"/>
  <c r="F24" i="7"/>
  <c r="G24" i="7"/>
  <c r="H24" i="7"/>
  <c r="I24" i="7"/>
  <c r="L24" i="7"/>
  <c r="M24" i="7"/>
  <c r="N24" i="7"/>
  <c r="O24" i="7"/>
  <c r="P24" i="7"/>
  <c r="Q24" i="7"/>
  <c r="T24" i="7"/>
  <c r="U24" i="7"/>
  <c r="V24" i="7"/>
  <c r="W24" i="7"/>
  <c r="X24" i="7"/>
  <c r="Y24" i="7"/>
  <c r="Z24" i="7"/>
  <c r="AA24" i="7"/>
  <c r="AB24" i="7"/>
  <c r="A25" i="7"/>
  <c r="B25" i="7"/>
  <c r="C25" i="7"/>
  <c r="E25" i="7"/>
  <c r="F25" i="7"/>
  <c r="G25" i="7"/>
  <c r="H25" i="7"/>
  <c r="I25" i="7"/>
  <c r="L25" i="7"/>
  <c r="M25" i="7"/>
  <c r="N25" i="7"/>
  <c r="O25" i="7"/>
  <c r="P25" i="7"/>
  <c r="Q25" i="7"/>
  <c r="T25" i="7"/>
  <c r="U25" i="7"/>
  <c r="V25" i="7"/>
  <c r="W25" i="7"/>
  <c r="X25" i="7"/>
  <c r="Y25" i="7"/>
  <c r="Z25" i="7"/>
  <c r="AA25" i="7"/>
  <c r="AB25" i="7"/>
  <c r="A26" i="7"/>
  <c r="B26" i="7"/>
  <c r="C26" i="7"/>
  <c r="E26" i="7"/>
  <c r="F26" i="7"/>
  <c r="G26" i="7"/>
  <c r="H26" i="7"/>
  <c r="I26" i="7"/>
  <c r="L26" i="7"/>
  <c r="M26" i="7"/>
  <c r="N26" i="7"/>
  <c r="O26" i="7"/>
  <c r="P26" i="7"/>
  <c r="Q26" i="7"/>
  <c r="T26" i="7"/>
  <c r="U26" i="7"/>
  <c r="V26" i="7"/>
  <c r="W26" i="7"/>
  <c r="X26" i="7"/>
  <c r="Y26" i="7"/>
  <c r="Z26" i="7"/>
  <c r="AA26" i="7"/>
  <c r="AB26" i="7"/>
  <c r="A27" i="7"/>
  <c r="B27" i="7"/>
  <c r="C27" i="7"/>
  <c r="E27" i="7"/>
  <c r="F27" i="7"/>
  <c r="G27" i="7"/>
  <c r="H27" i="7"/>
  <c r="I27" i="7"/>
  <c r="L27" i="7"/>
  <c r="M27" i="7"/>
  <c r="N27" i="7"/>
  <c r="O27" i="7"/>
  <c r="P27" i="7"/>
  <c r="Q27" i="7"/>
  <c r="T27" i="7"/>
  <c r="U27" i="7"/>
  <c r="V27" i="7"/>
  <c r="W27" i="7"/>
  <c r="X27" i="7"/>
  <c r="Y27" i="7"/>
  <c r="Z27" i="7"/>
  <c r="AA27" i="7"/>
  <c r="AB27" i="7"/>
  <c r="A28" i="7"/>
  <c r="B28" i="7"/>
  <c r="C28" i="7"/>
  <c r="E28" i="7"/>
  <c r="F28" i="7"/>
  <c r="G28" i="7"/>
  <c r="H28" i="7"/>
  <c r="I28" i="7"/>
  <c r="L28" i="7"/>
  <c r="M28" i="7"/>
  <c r="N28" i="7"/>
  <c r="O28" i="7"/>
  <c r="P28" i="7"/>
  <c r="Q28" i="7"/>
  <c r="T28" i="7"/>
  <c r="U28" i="7"/>
  <c r="V28" i="7"/>
  <c r="W28" i="7"/>
  <c r="X28" i="7"/>
  <c r="Y28" i="7"/>
  <c r="Z28" i="7"/>
  <c r="AA28" i="7"/>
  <c r="AB28" i="7"/>
  <c r="A29" i="7"/>
  <c r="B29" i="7"/>
  <c r="C29" i="7"/>
  <c r="E29" i="7"/>
  <c r="F29" i="7"/>
  <c r="G29" i="7"/>
  <c r="H29" i="7"/>
  <c r="I29" i="7"/>
  <c r="L29" i="7"/>
  <c r="M29" i="7"/>
  <c r="N29" i="7"/>
  <c r="O29" i="7"/>
  <c r="P29" i="7"/>
  <c r="Q29" i="7"/>
  <c r="T29" i="7"/>
  <c r="U29" i="7"/>
  <c r="V29" i="7"/>
  <c r="W29" i="7"/>
  <c r="X29" i="7"/>
  <c r="Y29" i="7"/>
  <c r="Z29" i="7"/>
  <c r="AA29" i="7"/>
  <c r="AB29" i="7"/>
  <c r="A30" i="7"/>
  <c r="B30" i="7"/>
  <c r="C30" i="7"/>
  <c r="E30" i="7"/>
  <c r="F30" i="7"/>
  <c r="G30" i="7"/>
  <c r="H30" i="7"/>
  <c r="I30" i="7"/>
  <c r="L30" i="7"/>
  <c r="M30" i="7"/>
  <c r="N30" i="7"/>
  <c r="O30" i="7"/>
  <c r="P30" i="7"/>
  <c r="Q30" i="7"/>
  <c r="T30" i="7"/>
  <c r="U30" i="7"/>
  <c r="V30" i="7"/>
  <c r="W30" i="7"/>
  <c r="X30" i="7"/>
  <c r="Y30" i="7"/>
  <c r="Z30" i="7"/>
  <c r="AA30" i="7"/>
  <c r="AB30" i="7"/>
  <c r="A31" i="7"/>
  <c r="B31" i="7"/>
  <c r="C31" i="7"/>
  <c r="E31" i="7"/>
  <c r="F31" i="7"/>
  <c r="G31" i="7"/>
  <c r="H31" i="7"/>
  <c r="I31" i="7"/>
  <c r="L31" i="7"/>
  <c r="M31" i="7"/>
  <c r="N31" i="7"/>
  <c r="O31" i="7"/>
  <c r="P31" i="7"/>
  <c r="Q31" i="7"/>
  <c r="T31" i="7"/>
  <c r="U31" i="7"/>
  <c r="V31" i="7"/>
  <c r="W31" i="7"/>
  <c r="X31" i="7"/>
  <c r="Y31" i="7"/>
  <c r="Z31" i="7"/>
  <c r="AA31" i="7"/>
  <c r="AB31" i="7"/>
  <c r="A32" i="7"/>
  <c r="B32" i="7"/>
  <c r="C32" i="7"/>
  <c r="E32" i="7"/>
  <c r="F32" i="7"/>
  <c r="G32" i="7"/>
  <c r="H32" i="7"/>
  <c r="I32" i="7"/>
  <c r="L32" i="7"/>
  <c r="M32" i="7"/>
  <c r="N32" i="7"/>
  <c r="O32" i="7"/>
  <c r="P32" i="7"/>
  <c r="Q32" i="7"/>
  <c r="T32" i="7"/>
  <c r="U32" i="7"/>
  <c r="V32" i="7"/>
  <c r="W32" i="7"/>
  <c r="X32" i="7"/>
  <c r="Y32" i="7"/>
  <c r="Z32" i="7"/>
  <c r="AA32" i="7"/>
  <c r="AB32" i="7"/>
  <c r="A33" i="7"/>
  <c r="B33" i="7"/>
  <c r="C33" i="7"/>
  <c r="E33" i="7"/>
  <c r="F33" i="7"/>
  <c r="G33" i="7"/>
  <c r="H33" i="7"/>
  <c r="I33" i="7"/>
  <c r="L33" i="7"/>
  <c r="M33" i="7"/>
  <c r="N33" i="7"/>
  <c r="O33" i="7"/>
  <c r="P33" i="7"/>
  <c r="Q33" i="7"/>
  <c r="T33" i="7"/>
  <c r="U33" i="7"/>
  <c r="V33" i="7"/>
  <c r="W33" i="7"/>
  <c r="X33" i="7"/>
  <c r="Y33" i="7"/>
  <c r="Z33" i="7"/>
  <c r="AA33" i="7"/>
  <c r="AB33" i="7"/>
  <c r="A34" i="7"/>
  <c r="B34" i="7"/>
  <c r="C34" i="7"/>
  <c r="E34" i="7"/>
  <c r="F34" i="7"/>
  <c r="G34" i="7"/>
  <c r="H34" i="7"/>
  <c r="I34" i="7"/>
  <c r="L34" i="7"/>
  <c r="M34" i="7"/>
  <c r="N34" i="7"/>
  <c r="O34" i="7"/>
  <c r="P34" i="7"/>
  <c r="Q34" i="7"/>
  <c r="T34" i="7"/>
  <c r="U34" i="7"/>
  <c r="V34" i="7"/>
  <c r="W34" i="7"/>
  <c r="X34" i="7"/>
  <c r="Y34" i="7"/>
  <c r="Z34" i="7"/>
  <c r="AA34" i="7"/>
  <c r="AB34" i="7"/>
  <c r="A35" i="7"/>
  <c r="B35" i="7"/>
  <c r="C35" i="7"/>
  <c r="E35" i="7"/>
  <c r="F35" i="7"/>
  <c r="G35" i="7"/>
  <c r="H35" i="7"/>
  <c r="I35" i="7"/>
  <c r="L35" i="7"/>
  <c r="M35" i="7"/>
  <c r="N35" i="7"/>
  <c r="O35" i="7"/>
  <c r="P35" i="7"/>
  <c r="Q35" i="7"/>
  <c r="T35" i="7"/>
  <c r="U35" i="7"/>
  <c r="V35" i="7"/>
  <c r="W35" i="7"/>
  <c r="X35" i="7"/>
  <c r="Y35" i="7"/>
  <c r="Z35" i="7"/>
  <c r="AA35" i="7"/>
  <c r="AB35" i="7"/>
  <c r="A36" i="7"/>
  <c r="B36" i="7"/>
  <c r="C36" i="7"/>
  <c r="E36" i="7"/>
  <c r="F36" i="7"/>
  <c r="G36" i="7"/>
  <c r="H36" i="7"/>
  <c r="I36" i="7"/>
  <c r="L36" i="7"/>
  <c r="M36" i="7"/>
  <c r="N36" i="7"/>
  <c r="O36" i="7"/>
  <c r="P36" i="7"/>
  <c r="Q36" i="7"/>
  <c r="T36" i="7"/>
  <c r="U36" i="7"/>
  <c r="V36" i="7"/>
  <c r="W36" i="7"/>
  <c r="X36" i="7"/>
  <c r="Y36" i="7"/>
  <c r="Z36" i="7"/>
  <c r="AA36" i="7"/>
  <c r="AB36" i="7"/>
  <c r="A37" i="7"/>
  <c r="B37" i="7"/>
  <c r="C37" i="7"/>
  <c r="E37" i="7"/>
  <c r="F37" i="7"/>
  <c r="G37" i="7"/>
  <c r="H37" i="7"/>
  <c r="I37" i="7"/>
  <c r="L37" i="7"/>
  <c r="M37" i="7"/>
  <c r="N37" i="7"/>
  <c r="O37" i="7"/>
  <c r="P37" i="7"/>
  <c r="Q37" i="7"/>
  <c r="T37" i="7"/>
  <c r="U37" i="7"/>
  <c r="V37" i="7"/>
  <c r="W37" i="7"/>
  <c r="X37" i="7"/>
  <c r="Y37" i="7"/>
  <c r="Z37" i="7"/>
  <c r="AA37" i="7"/>
  <c r="AB37" i="7"/>
  <c r="A38" i="7"/>
  <c r="B38" i="7"/>
  <c r="C38" i="7"/>
  <c r="E38" i="7"/>
  <c r="F38" i="7"/>
  <c r="G38" i="7"/>
  <c r="H38" i="7"/>
  <c r="I38" i="7"/>
  <c r="L38" i="7"/>
  <c r="M38" i="7"/>
  <c r="N38" i="7"/>
  <c r="O38" i="7"/>
  <c r="P38" i="7"/>
  <c r="Q38" i="7"/>
  <c r="T38" i="7"/>
  <c r="U38" i="7"/>
  <c r="V38" i="7"/>
  <c r="W38" i="7"/>
  <c r="X38" i="7"/>
  <c r="Y38" i="7"/>
  <c r="Z38" i="7"/>
  <c r="AA38" i="7"/>
  <c r="AB38" i="7"/>
  <c r="A39" i="7"/>
  <c r="B39" i="7"/>
  <c r="C39" i="7"/>
  <c r="E39" i="7"/>
  <c r="F39" i="7"/>
  <c r="G39" i="7"/>
  <c r="H39" i="7"/>
  <c r="I39" i="7"/>
  <c r="L39" i="7"/>
  <c r="M39" i="7"/>
  <c r="N39" i="7"/>
  <c r="O39" i="7"/>
  <c r="P39" i="7"/>
  <c r="Q39" i="7"/>
  <c r="T39" i="7"/>
  <c r="U39" i="7"/>
  <c r="V39" i="7"/>
  <c r="W39" i="7"/>
  <c r="X39" i="7"/>
  <c r="Y39" i="7"/>
  <c r="Z39" i="7"/>
  <c r="AA39" i="7"/>
  <c r="AB39" i="7"/>
  <c r="A40" i="7"/>
  <c r="B40" i="7"/>
  <c r="C40" i="7"/>
  <c r="E40" i="7"/>
  <c r="F40" i="7"/>
  <c r="G40" i="7"/>
  <c r="H40" i="7"/>
  <c r="I40" i="7"/>
  <c r="L40" i="7"/>
  <c r="M40" i="7"/>
  <c r="N40" i="7"/>
  <c r="O40" i="7"/>
  <c r="P40" i="7"/>
  <c r="Q40" i="7"/>
  <c r="T40" i="7"/>
  <c r="U40" i="7"/>
  <c r="V40" i="7"/>
  <c r="W40" i="7"/>
  <c r="X40" i="7"/>
  <c r="Y40" i="7"/>
  <c r="Z40" i="7"/>
  <c r="AA40" i="7"/>
  <c r="AB40" i="7"/>
  <c r="A41" i="7"/>
  <c r="B41" i="7"/>
  <c r="C41" i="7"/>
  <c r="E41" i="7"/>
  <c r="F41" i="7"/>
  <c r="G41" i="7"/>
  <c r="H41" i="7"/>
  <c r="I41" i="7"/>
  <c r="L41" i="7"/>
  <c r="M41" i="7"/>
  <c r="N41" i="7"/>
  <c r="O41" i="7"/>
  <c r="P41" i="7"/>
  <c r="Q41" i="7"/>
  <c r="T41" i="7"/>
  <c r="U41" i="7"/>
  <c r="V41" i="7"/>
  <c r="W41" i="7"/>
  <c r="X41" i="7"/>
  <c r="Y41" i="7"/>
  <c r="Z41" i="7"/>
  <c r="AA41" i="7"/>
  <c r="AB41" i="7"/>
  <c r="A42" i="7"/>
  <c r="B42" i="7"/>
  <c r="C42" i="7"/>
  <c r="E42" i="7"/>
  <c r="F42" i="7"/>
  <c r="G42" i="7"/>
  <c r="H42" i="7"/>
  <c r="I42" i="7"/>
  <c r="L42" i="7"/>
  <c r="M42" i="7"/>
  <c r="N42" i="7"/>
  <c r="O42" i="7"/>
  <c r="P42" i="7"/>
  <c r="Q42" i="7"/>
  <c r="T42" i="7"/>
  <c r="U42" i="7"/>
  <c r="V42" i="7"/>
  <c r="W42" i="7"/>
  <c r="X42" i="7"/>
  <c r="Y42" i="7"/>
  <c r="Z42" i="7"/>
  <c r="AA42" i="7"/>
  <c r="AB42" i="7"/>
  <c r="A43" i="7"/>
  <c r="B43" i="7"/>
  <c r="C43" i="7"/>
  <c r="E43" i="7"/>
  <c r="F43" i="7"/>
  <c r="G43" i="7"/>
  <c r="H43" i="7"/>
  <c r="I43" i="7"/>
  <c r="L43" i="7"/>
  <c r="M43" i="7"/>
  <c r="N43" i="7"/>
  <c r="O43" i="7"/>
  <c r="P43" i="7"/>
  <c r="Q43" i="7"/>
  <c r="T43" i="7"/>
  <c r="U43" i="7"/>
  <c r="V43" i="7"/>
  <c r="W43" i="7"/>
  <c r="X43" i="7"/>
  <c r="Y43" i="7"/>
  <c r="Z43" i="7"/>
  <c r="AA43" i="7"/>
  <c r="AB43" i="7"/>
  <c r="A44" i="7"/>
  <c r="B44" i="7"/>
  <c r="C44" i="7"/>
  <c r="E44" i="7"/>
  <c r="F44" i="7"/>
  <c r="G44" i="7"/>
  <c r="H44" i="7"/>
  <c r="I44" i="7"/>
  <c r="L44" i="7"/>
  <c r="M44" i="7"/>
  <c r="N44" i="7"/>
  <c r="O44" i="7"/>
  <c r="P44" i="7"/>
  <c r="Q44" i="7"/>
  <c r="T44" i="7"/>
  <c r="U44" i="7"/>
  <c r="V44" i="7"/>
  <c r="W44" i="7"/>
  <c r="X44" i="7"/>
  <c r="Y44" i="7"/>
  <c r="Z44" i="7"/>
  <c r="AA44" i="7"/>
  <c r="AB44" i="7"/>
  <c r="A45" i="7"/>
  <c r="B45" i="7"/>
  <c r="C45" i="7"/>
  <c r="E45" i="7"/>
  <c r="F45" i="7"/>
  <c r="G45" i="7"/>
  <c r="H45" i="7"/>
  <c r="I45" i="7"/>
  <c r="L45" i="7"/>
  <c r="M45" i="7"/>
  <c r="N45" i="7"/>
  <c r="O45" i="7"/>
  <c r="P45" i="7"/>
  <c r="Q45" i="7"/>
  <c r="T45" i="7"/>
  <c r="U45" i="7"/>
  <c r="V45" i="7"/>
  <c r="W45" i="7"/>
  <c r="X45" i="7"/>
  <c r="Y45" i="7"/>
  <c r="Z45" i="7"/>
  <c r="AA45" i="7"/>
  <c r="AB45" i="7"/>
  <c r="A46" i="7"/>
  <c r="B46" i="7"/>
  <c r="C46" i="7"/>
  <c r="E46" i="7"/>
  <c r="F46" i="7"/>
  <c r="G46" i="7"/>
  <c r="H46" i="7"/>
  <c r="I46" i="7"/>
  <c r="L46" i="7"/>
  <c r="M46" i="7"/>
  <c r="N46" i="7"/>
  <c r="O46" i="7"/>
  <c r="P46" i="7"/>
  <c r="Q46" i="7"/>
  <c r="T46" i="7"/>
  <c r="U46" i="7"/>
  <c r="V46" i="7"/>
  <c r="W46" i="7"/>
  <c r="X46" i="7"/>
  <c r="Y46" i="7"/>
  <c r="Z46" i="7"/>
  <c r="AA46" i="7"/>
  <c r="AB46" i="7"/>
  <c r="A47" i="7"/>
  <c r="B47" i="7"/>
  <c r="C47" i="7"/>
  <c r="E47" i="7"/>
  <c r="F47" i="7"/>
  <c r="G47" i="7"/>
  <c r="H47" i="7"/>
  <c r="I47" i="7"/>
  <c r="L47" i="7"/>
  <c r="M47" i="7"/>
  <c r="N47" i="7"/>
  <c r="O47" i="7"/>
  <c r="P47" i="7"/>
  <c r="Q47" i="7"/>
  <c r="T47" i="7"/>
  <c r="U47" i="7"/>
  <c r="V47" i="7"/>
  <c r="W47" i="7"/>
  <c r="X47" i="7"/>
  <c r="Y47" i="7"/>
  <c r="Z47" i="7"/>
  <c r="AA47" i="7"/>
  <c r="AB47" i="7"/>
  <c r="A48" i="7"/>
  <c r="B48" i="7"/>
  <c r="C48" i="7"/>
  <c r="E48" i="7"/>
  <c r="F48" i="7"/>
  <c r="G48" i="7"/>
  <c r="H48" i="7"/>
  <c r="I48" i="7"/>
  <c r="L48" i="7"/>
  <c r="M48" i="7"/>
  <c r="N48" i="7"/>
  <c r="O48" i="7"/>
  <c r="P48" i="7"/>
  <c r="Q48" i="7"/>
  <c r="T48" i="7"/>
  <c r="U48" i="7"/>
  <c r="V48" i="7"/>
  <c r="W48" i="7"/>
  <c r="X48" i="7"/>
  <c r="Y48" i="7"/>
  <c r="Z48" i="7"/>
  <c r="AA48" i="7"/>
  <c r="AB48" i="7"/>
  <c r="A49" i="7"/>
  <c r="B49" i="7"/>
  <c r="C49" i="7"/>
  <c r="E49" i="7"/>
  <c r="F49" i="7"/>
  <c r="G49" i="7"/>
  <c r="H49" i="7"/>
  <c r="I49" i="7"/>
  <c r="L49" i="7"/>
  <c r="M49" i="7"/>
  <c r="N49" i="7"/>
  <c r="O49" i="7"/>
  <c r="P49" i="7"/>
  <c r="Q49" i="7"/>
  <c r="T49" i="7"/>
  <c r="U49" i="7"/>
  <c r="V49" i="7"/>
  <c r="W49" i="7"/>
  <c r="X49" i="7"/>
  <c r="Y49" i="7"/>
  <c r="Z49" i="7"/>
  <c r="AA49" i="7"/>
  <c r="AB49" i="7"/>
  <c r="A50" i="7"/>
  <c r="B50" i="7"/>
  <c r="C50" i="7"/>
  <c r="E50" i="7"/>
  <c r="F50" i="7"/>
  <c r="G50" i="7"/>
  <c r="H50" i="7"/>
  <c r="I50" i="7"/>
  <c r="L50" i="7"/>
  <c r="M50" i="7"/>
  <c r="N50" i="7"/>
  <c r="O50" i="7"/>
  <c r="P50" i="7"/>
  <c r="Q50" i="7"/>
  <c r="T50" i="7"/>
  <c r="U50" i="7"/>
  <c r="V50" i="7"/>
  <c r="W50" i="7"/>
  <c r="X50" i="7"/>
  <c r="Y50" i="7"/>
  <c r="Z50" i="7"/>
  <c r="AA50" i="7"/>
  <c r="AB50" i="7"/>
  <c r="A51" i="7"/>
  <c r="B51" i="7"/>
  <c r="C51" i="7"/>
  <c r="E51" i="7"/>
  <c r="F51" i="7"/>
  <c r="G51" i="7"/>
  <c r="H51" i="7"/>
  <c r="I51" i="7"/>
  <c r="L51" i="7"/>
  <c r="M51" i="7"/>
  <c r="N51" i="7"/>
  <c r="O51" i="7"/>
  <c r="P51" i="7"/>
  <c r="Q51" i="7"/>
  <c r="T51" i="7"/>
  <c r="U51" i="7"/>
  <c r="V51" i="7"/>
  <c r="W51" i="7"/>
  <c r="X51" i="7"/>
  <c r="Y51" i="7"/>
  <c r="Z51" i="7"/>
  <c r="AA51" i="7"/>
  <c r="AB51" i="7"/>
  <c r="A52" i="7"/>
  <c r="B52" i="7"/>
  <c r="C52" i="7"/>
  <c r="E52" i="7"/>
  <c r="F52" i="7"/>
  <c r="G52" i="7"/>
  <c r="H52" i="7"/>
  <c r="I52" i="7"/>
  <c r="L52" i="7"/>
  <c r="M52" i="7"/>
  <c r="N52" i="7"/>
  <c r="O52" i="7"/>
  <c r="P52" i="7"/>
  <c r="Q52" i="7"/>
  <c r="T52" i="7"/>
  <c r="U52" i="7"/>
  <c r="V52" i="7"/>
  <c r="W52" i="7"/>
  <c r="X52" i="7"/>
  <c r="Y52" i="7"/>
  <c r="Z52" i="7"/>
  <c r="AA52" i="7"/>
  <c r="AB52" i="7"/>
  <c r="A53" i="7"/>
  <c r="B53" i="7"/>
  <c r="C53" i="7"/>
  <c r="E53" i="7"/>
  <c r="F53" i="7"/>
  <c r="G53" i="7"/>
  <c r="H53" i="7"/>
  <c r="I53" i="7"/>
  <c r="L53" i="7"/>
  <c r="M53" i="7"/>
  <c r="N53" i="7"/>
  <c r="O53" i="7"/>
  <c r="P53" i="7"/>
  <c r="Q53" i="7"/>
  <c r="T53" i="7"/>
  <c r="U53" i="7"/>
  <c r="V53" i="7"/>
  <c r="W53" i="7"/>
  <c r="X53" i="7"/>
  <c r="Y53" i="7"/>
  <c r="Z53" i="7"/>
  <c r="AA53" i="7"/>
  <c r="AB53" i="7"/>
  <c r="A54" i="7"/>
  <c r="B54" i="7"/>
  <c r="C54" i="7"/>
  <c r="E54" i="7"/>
  <c r="F54" i="7"/>
  <c r="G54" i="7"/>
  <c r="H54" i="7"/>
  <c r="I54" i="7"/>
  <c r="L54" i="7"/>
  <c r="M54" i="7"/>
  <c r="N54" i="7"/>
  <c r="O54" i="7"/>
  <c r="P54" i="7"/>
  <c r="Q54" i="7"/>
  <c r="T54" i="7"/>
  <c r="U54" i="7"/>
  <c r="V54" i="7"/>
  <c r="W54" i="7"/>
  <c r="X54" i="7"/>
  <c r="Y54" i="7"/>
  <c r="Z54" i="7"/>
  <c r="AA54" i="7"/>
  <c r="AB54" i="7"/>
  <c r="A55" i="7"/>
  <c r="B55" i="7"/>
  <c r="C55" i="7"/>
  <c r="E55" i="7"/>
  <c r="F55" i="7"/>
  <c r="G55" i="7"/>
  <c r="H55" i="7"/>
  <c r="I55" i="7"/>
  <c r="L55" i="7"/>
  <c r="M55" i="7"/>
  <c r="N55" i="7"/>
  <c r="O55" i="7"/>
  <c r="P55" i="7"/>
  <c r="Q55" i="7"/>
  <c r="T55" i="7"/>
  <c r="U55" i="7"/>
  <c r="V55" i="7"/>
  <c r="W55" i="7"/>
  <c r="X55" i="7"/>
  <c r="Y55" i="7"/>
  <c r="Z55" i="7"/>
  <c r="AA55" i="7"/>
  <c r="AB55" i="7"/>
  <c r="A56" i="7"/>
  <c r="B56" i="7"/>
  <c r="C56" i="7"/>
  <c r="E56" i="7"/>
  <c r="F56" i="7"/>
  <c r="G56" i="7"/>
  <c r="H56" i="7"/>
  <c r="I56" i="7"/>
  <c r="L56" i="7"/>
  <c r="M56" i="7"/>
  <c r="N56" i="7"/>
  <c r="O56" i="7"/>
  <c r="P56" i="7"/>
  <c r="Q56" i="7"/>
  <c r="T56" i="7"/>
  <c r="U56" i="7"/>
  <c r="V56" i="7"/>
  <c r="W56" i="7"/>
  <c r="X56" i="7"/>
  <c r="Y56" i="7"/>
  <c r="Z56" i="7"/>
  <c r="AA56" i="7"/>
  <c r="AB56" i="7"/>
  <c r="A57" i="7"/>
  <c r="B57" i="7"/>
  <c r="C57" i="7"/>
  <c r="E57" i="7"/>
  <c r="F57" i="7"/>
  <c r="G57" i="7"/>
  <c r="H57" i="7"/>
  <c r="I57" i="7"/>
  <c r="L57" i="7"/>
  <c r="M57" i="7"/>
  <c r="N57" i="7"/>
  <c r="O57" i="7"/>
  <c r="P57" i="7"/>
  <c r="Q57" i="7"/>
  <c r="T57" i="7"/>
  <c r="U57" i="7"/>
  <c r="V57" i="7"/>
  <c r="W57" i="7"/>
  <c r="X57" i="7"/>
  <c r="Y57" i="7"/>
  <c r="Z57" i="7"/>
  <c r="AA57" i="7"/>
  <c r="AB57" i="7"/>
  <c r="A58" i="7"/>
  <c r="B58" i="7"/>
  <c r="C58" i="7"/>
  <c r="E58" i="7"/>
  <c r="F58" i="7"/>
  <c r="G58" i="7"/>
  <c r="H58" i="7"/>
  <c r="I58" i="7"/>
  <c r="L58" i="7"/>
  <c r="M58" i="7"/>
  <c r="N58" i="7"/>
  <c r="O58" i="7"/>
  <c r="P58" i="7"/>
  <c r="Q58" i="7"/>
  <c r="T58" i="7"/>
  <c r="U58" i="7"/>
  <c r="V58" i="7"/>
  <c r="W58" i="7"/>
  <c r="X58" i="7"/>
  <c r="Y58" i="7"/>
  <c r="Z58" i="7"/>
  <c r="AA58" i="7"/>
  <c r="AB58" i="7"/>
  <c r="A59" i="7"/>
  <c r="B59" i="7"/>
  <c r="C59" i="7"/>
  <c r="E59" i="7"/>
  <c r="F59" i="7"/>
  <c r="G59" i="7"/>
  <c r="H59" i="7"/>
  <c r="I59" i="7"/>
  <c r="L59" i="7"/>
  <c r="M59" i="7"/>
  <c r="N59" i="7"/>
  <c r="O59" i="7"/>
  <c r="P59" i="7"/>
  <c r="Q59" i="7"/>
  <c r="T59" i="7"/>
  <c r="U59" i="7"/>
  <c r="V59" i="7"/>
  <c r="W59" i="7"/>
  <c r="X59" i="7"/>
  <c r="Y59" i="7"/>
  <c r="Z59" i="7"/>
  <c r="AA59" i="7"/>
  <c r="AB59" i="7"/>
  <c r="A60" i="7"/>
  <c r="B60" i="7"/>
  <c r="C60" i="7"/>
  <c r="E60" i="7"/>
  <c r="F60" i="7"/>
  <c r="G60" i="7"/>
  <c r="H60" i="7"/>
  <c r="I60" i="7"/>
  <c r="L60" i="7"/>
  <c r="M60" i="7"/>
  <c r="N60" i="7"/>
  <c r="O60" i="7"/>
  <c r="P60" i="7"/>
  <c r="Q60" i="7"/>
  <c r="T60" i="7"/>
  <c r="U60" i="7"/>
  <c r="V60" i="7"/>
  <c r="W60" i="7"/>
  <c r="X60" i="7"/>
  <c r="Y60" i="7"/>
  <c r="Z60" i="7"/>
  <c r="AA60" i="7"/>
  <c r="AB60" i="7"/>
  <c r="A61" i="7"/>
  <c r="B61" i="7"/>
  <c r="C61" i="7"/>
  <c r="E61" i="7"/>
  <c r="F61" i="7"/>
  <c r="G61" i="7"/>
  <c r="H61" i="7"/>
  <c r="I61" i="7"/>
  <c r="L61" i="7"/>
  <c r="M61" i="7"/>
  <c r="N61" i="7"/>
  <c r="O61" i="7"/>
  <c r="P61" i="7"/>
  <c r="Q61" i="7"/>
  <c r="T61" i="7"/>
  <c r="U61" i="7"/>
  <c r="V61" i="7"/>
  <c r="W61" i="7"/>
  <c r="X61" i="7"/>
  <c r="Y61" i="7"/>
  <c r="Z61" i="7"/>
  <c r="AA61" i="7"/>
  <c r="AB61" i="7"/>
  <c r="A62" i="7"/>
  <c r="B62" i="7"/>
  <c r="C62" i="7"/>
  <c r="E62" i="7"/>
  <c r="F62" i="7"/>
  <c r="G62" i="7"/>
  <c r="H62" i="7"/>
  <c r="I62" i="7"/>
  <c r="L62" i="7"/>
  <c r="M62" i="7"/>
  <c r="N62" i="7"/>
  <c r="O62" i="7"/>
  <c r="P62" i="7"/>
  <c r="Q62" i="7"/>
  <c r="T62" i="7"/>
  <c r="U62" i="7"/>
  <c r="V62" i="7"/>
  <c r="W62" i="7"/>
  <c r="X62" i="7"/>
  <c r="Y62" i="7"/>
  <c r="Z62" i="7"/>
  <c r="AA62" i="7"/>
  <c r="AB62" i="7"/>
  <c r="A63" i="7"/>
  <c r="B63" i="7"/>
  <c r="C63" i="7"/>
  <c r="E63" i="7"/>
  <c r="F63" i="7"/>
  <c r="G63" i="7"/>
  <c r="H63" i="7"/>
  <c r="I63" i="7"/>
  <c r="L63" i="7"/>
  <c r="M63" i="7"/>
  <c r="N63" i="7"/>
  <c r="O63" i="7"/>
  <c r="P63" i="7"/>
  <c r="Q63" i="7"/>
  <c r="T63" i="7"/>
  <c r="U63" i="7"/>
  <c r="V63" i="7"/>
  <c r="W63" i="7"/>
  <c r="X63" i="7"/>
  <c r="Y63" i="7"/>
  <c r="Z63" i="7"/>
  <c r="AA63" i="7"/>
  <c r="AB63" i="7"/>
  <c r="A64" i="7"/>
  <c r="B64" i="7"/>
  <c r="C64" i="7"/>
  <c r="E64" i="7"/>
  <c r="F64" i="7"/>
  <c r="G64" i="7"/>
  <c r="H64" i="7"/>
  <c r="I64" i="7"/>
  <c r="L64" i="7"/>
  <c r="M64" i="7"/>
  <c r="N64" i="7"/>
  <c r="O64" i="7"/>
  <c r="P64" i="7"/>
  <c r="Q64" i="7"/>
  <c r="T64" i="7"/>
  <c r="U64" i="7"/>
  <c r="V64" i="7"/>
  <c r="W64" i="7"/>
  <c r="X64" i="7"/>
  <c r="Y64" i="7"/>
  <c r="Z64" i="7"/>
  <c r="AA64" i="7"/>
  <c r="AB64" i="7"/>
  <c r="A65" i="7"/>
  <c r="B65" i="7"/>
  <c r="C65" i="7"/>
  <c r="E65" i="7"/>
  <c r="F65" i="7"/>
  <c r="G65" i="7"/>
  <c r="H65" i="7"/>
  <c r="I65" i="7"/>
  <c r="L65" i="7"/>
  <c r="M65" i="7"/>
  <c r="N65" i="7"/>
  <c r="O65" i="7"/>
  <c r="P65" i="7"/>
  <c r="Q65" i="7"/>
  <c r="T65" i="7"/>
  <c r="U65" i="7"/>
  <c r="V65" i="7"/>
  <c r="W65" i="7"/>
  <c r="X65" i="7"/>
  <c r="Y65" i="7"/>
  <c r="Z65" i="7"/>
  <c r="AA65" i="7"/>
  <c r="AB65" i="7"/>
  <c r="A66" i="7"/>
  <c r="B66" i="7"/>
  <c r="C66" i="7"/>
  <c r="E66" i="7"/>
  <c r="F66" i="7"/>
  <c r="G66" i="7"/>
  <c r="H66" i="7"/>
  <c r="I66" i="7"/>
  <c r="L66" i="7"/>
  <c r="M66" i="7"/>
  <c r="N66" i="7"/>
  <c r="O66" i="7"/>
  <c r="P66" i="7"/>
  <c r="Q66" i="7"/>
  <c r="T66" i="7"/>
  <c r="U66" i="7"/>
  <c r="V66" i="7"/>
  <c r="W66" i="7"/>
  <c r="X66" i="7"/>
  <c r="Y66" i="7"/>
  <c r="Z66" i="7"/>
  <c r="AA66" i="7"/>
  <c r="AB66" i="7"/>
  <c r="A67" i="7"/>
  <c r="B67" i="7"/>
  <c r="C67" i="7"/>
  <c r="E67" i="7"/>
  <c r="F67" i="7"/>
  <c r="G67" i="7"/>
  <c r="H67" i="7"/>
  <c r="I67" i="7"/>
  <c r="L67" i="7"/>
  <c r="M67" i="7"/>
  <c r="N67" i="7"/>
  <c r="O67" i="7"/>
  <c r="P67" i="7"/>
  <c r="Q67" i="7"/>
  <c r="T67" i="7"/>
  <c r="U67" i="7"/>
  <c r="V67" i="7"/>
  <c r="W67" i="7"/>
  <c r="X67" i="7"/>
  <c r="Y67" i="7"/>
  <c r="Z67" i="7"/>
  <c r="AA67" i="7"/>
  <c r="AB67" i="7"/>
  <c r="A68" i="7"/>
  <c r="B68" i="7"/>
  <c r="C68" i="7"/>
  <c r="E68" i="7"/>
  <c r="F68" i="7"/>
  <c r="G68" i="7"/>
  <c r="H68" i="7"/>
  <c r="I68" i="7"/>
  <c r="L68" i="7"/>
  <c r="M68" i="7"/>
  <c r="N68" i="7"/>
  <c r="O68" i="7"/>
  <c r="P68" i="7"/>
  <c r="Q68" i="7"/>
  <c r="T68" i="7"/>
  <c r="U68" i="7"/>
  <c r="V68" i="7"/>
  <c r="W68" i="7"/>
  <c r="X68" i="7"/>
  <c r="Y68" i="7"/>
  <c r="Z68" i="7"/>
  <c r="AA68" i="7"/>
  <c r="AB68" i="7"/>
  <c r="A69" i="7"/>
  <c r="B69" i="7"/>
  <c r="C69" i="7"/>
  <c r="E69" i="7"/>
  <c r="F69" i="7"/>
  <c r="G69" i="7"/>
  <c r="H69" i="7"/>
  <c r="I69" i="7"/>
  <c r="L69" i="7"/>
  <c r="M69" i="7"/>
  <c r="N69" i="7"/>
  <c r="O69" i="7"/>
  <c r="P69" i="7"/>
  <c r="Q69" i="7"/>
  <c r="T69" i="7"/>
  <c r="U69" i="7"/>
  <c r="V69" i="7"/>
  <c r="W69" i="7"/>
  <c r="X69" i="7"/>
  <c r="Y69" i="7"/>
  <c r="Z69" i="7"/>
  <c r="AA69" i="7"/>
  <c r="AB69" i="7"/>
  <c r="A70" i="7"/>
  <c r="B70" i="7"/>
  <c r="C70" i="7"/>
  <c r="E70" i="7"/>
  <c r="F70" i="7"/>
  <c r="G70" i="7"/>
  <c r="H70" i="7"/>
  <c r="I70" i="7"/>
  <c r="L70" i="7"/>
  <c r="M70" i="7"/>
  <c r="N70" i="7"/>
  <c r="O70" i="7"/>
  <c r="P70" i="7"/>
  <c r="Q70" i="7"/>
  <c r="T70" i="7"/>
  <c r="U70" i="7"/>
  <c r="V70" i="7"/>
  <c r="W70" i="7"/>
  <c r="X70" i="7"/>
  <c r="Y70" i="7"/>
  <c r="Z70" i="7"/>
  <c r="AA70" i="7"/>
  <c r="AB70" i="7"/>
  <c r="A71" i="7"/>
  <c r="B71" i="7"/>
  <c r="C71" i="7"/>
  <c r="E71" i="7"/>
  <c r="F71" i="7"/>
  <c r="G71" i="7"/>
  <c r="H71" i="7"/>
  <c r="I71" i="7"/>
  <c r="L71" i="7"/>
  <c r="M71" i="7"/>
  <c r="N71" i="7"/>
  <c r="O71" i="7"/>
  <c r="P71" i="7"/>
  <c r="Q71" i="7"/>
  <c r="T71" i="7"/>
  <c r="U71" i="7"/>
  <c r="V71" i="7"/>
  <c r="W71" i="7"/>
  <c r="X71" i="7"/>
  <c r="Y71" i="7"/>
  <c r="Z71" i="7"/>
  <c r="AA71" i="7"/>
  <c r="AB71" i="7"/>
  <c r="A72" i="7"/>
  <c r="B72" i="7"/>
  <c r="C72" i="7"/>
  <c r="E72" i="7"/>
  <c r="F72" i="7"/>
  <c r="G72" i="7"/>
  <c r="H72" i="7"/>
  <c r="I72" i="7"/>
  <c r="L72" i="7"/>
  <c r="M72" i="7"/>
  <c r="N72" i="7"/>
  <c r="O72" i="7"/>
  <c r="P72" i="7"/>
  <c r="Q72" i="7"/>
  <c r="T72" i="7"/>
  <c r="U72" i="7"/>
  <c r="V72" i="7"/>
  <c r="W72" i="7"/>
  <c r="X72" i="7"/>
  <c r="Y72" i="7"/>
  <c r="Z72" i="7"/>
  <c r="AA72" i="7"/>
  <c r="AB72" i="7"/>
  <c r="A73" i="7"/>
  <c r="B73" i="7"/>
  <c r="C73" i="7"/>
  <c r="E73" i="7"/>
  <c r="F73" i="7"/>
  <c r="G73" i="7"/>
  <c r="H73" i="7"/>
  <c r="I73" i="7"/>
  <c r="L73" i="7"/>
  <c r="M73" i="7"/>
  <c r="N73" i="7"/>
  <c r="O73" i="7"/>
  <c r="P73" i="7"/>
  <c r="Q73" i="7"/>
  <c r="T73" i="7"/>
  <c r="U73" i="7"/>
  <c r="V73" i="7"/>
  <c r="W73" i="7"/>
  <c r="X73" i="7"/>
  <c r="Y73" i="7"/>
  <c r="Z73" i="7"/>
  <c r="AA73" i="7"/>
  <c r="AB73" i="7"/>
  <c r="A74" i="7"/>
  <c r="B74" i="7"/>
  <c r="C74" i="7"/>
  <c r="E74" i="7"/>
  <c r="F74" i="7"/>
  <c r="G74" i="7"/>
  <c r="H74" i="7"/>
  <c r="I74" i="7"/>
  <c r="L74" i="7"/>
  <c r="M74" i="7"/>
  <c r="N74" i="7"/>
  <c r="O74" i="7"/>
  <c r="P74" i="7"/>
  <c r="Q74" i="7"/>
  <c r="T74" i="7"/>
  <c r="U74" i="7"/>
  <c r="V74" i="7"/>
  <c r="W74" i="7"/>
  <c r="X74" i="7"/>
  <c r="Y74" i="7"/>
  <c r="Z74" i="7"/>
  <c r="AA74" i="7"/>
  <c r="AB74" i="7"/>
  <c r="A75" i="7"/>
  <c r="B75" i="7"/>
  <c r="C75" i="7"/>
  <c r="E75" i="7"/>
  <c r="F75" i="7"/>
  <c r="G75" i="7"/>
  <c r="H75" i="7"/>
  <c r="I75" i="7"/>
  <c r="L75" i="7"/>
  <c r="M75" i="7"/>
  <c r="N75" i="7"/>
  <c r="O75" i="7"/>
  <c r="P75" i="7"/>
  <c r="Q75" i="7"/>
  <c r="T75" i="7"/>
  <c r="U75" i="7"/>
  <c r="V75" i="7"/>
  <c r="W75" i="7"/>
  <c r="X75" i="7"/>
  <c r="Y75" i="7"/>
  <c r="Z75" i="7"/>
  <c r="AA75" i="7"/>
  <c r="AB75" i="7"/>
  <c r="A76" i="7"/>
  <c r="B76" i="7"/>
  <c r="C76" i="7"/>
  <c r="E76" i="7"/>
  <c r="F76" i="7"/>
  <c r="G76" i="7"/>
  <c r="H76" i="7"/>
  <c r="I76" i="7"/>
  <c r="L76" i="7"/>
  <c r="M76" i="7"/>
  <c r="N76" i="7"/>
  <c r="O76" i="7"/>
  <c r="P76" i="7"/>
  <c r="Q76" i="7"/>
  <c r="T76" i="7"/>
  <c r="U76" i="7"/>
  <c r="V76" i="7"/>
  <c r="W76" i="7"/>
  <c r="X76" i="7"/>
  <c r="Y76" i="7"/>
  <c r="Z76" i="7"/>
  <c r="AA76" i="7"/>
  <c r="AB76" i="7"/>
  <c r="A77" i="7"/>
  <c r="B77" i="7"/>
  <c r="C77" i="7"/>
  <c r="E77" i="7"/>
  <c r="F77" i="7"/>
  <c r="G77" i="7"/>
  <c r="H77" i="7"/>
  <c r="I77" i="7"/>
  <c r="L77" i="7"/>
  <c r="M77" i="7"/>
  <c r="N77" i="7"/>
  <c r="O77" i="7"/>
  <c r="P77" i="7"/>
  <c r="Q77" i="7"/>
  <c r="T77" i="7"/>
  <c r="U77" i="7"/>
  <c r="V77" i="7"/>
  <c r="W77" i="7"/>
  <c r="X77" i="7"/>
  <c r="Y77" i="7"/>
  <c r="Z77" i="7"/>
  <c r="AA77" i="7"/>
  <c r="AB77" i="7"/>
  <c r="A78" i="7"/>
  <c r="B78" i="7"/>
  <c r="C78" i="7"/>
  <c r="E78" i="7"/>
  <c r="F78" i="7"/>
  <c r="G78" i="7"/>
  <c r="H78" i="7"/>
  <c r="I78" i="7"/>
  <c r="L78" i="7"/>
  <c r="M78" i="7"/>
  <c r="N78" i="7"/>
  <c r="O78" i="7"/>
  <c r="P78" i="7"/>
  <c r="Q78" i="7"/>
  <c r="T78" i="7"/>
  <c r="U78" i="7"/>
  <c r="V78" i="7"/>
  <c r="W78" i="7"/>
  <c r="X78" i="7"/>
  <c r="Y78" i="7"/>
  <c r="Z78" i="7"/>
  <c r="AA78" i="7"/>
  <c r="AB78" i="7"/>
  <c r="A79" i="7"/>
  <c r="B79" i="7"/>
  <c r="C79" i="7"/>
  <c r="E79" i="7"/>
  <c r="F79" i="7"/>
  <c r="G79" i="7"/>
  <c r="H79" i="7"/>
  <c r="I79" i="7"/>
  <c r="L79" i="7"/>
  <c r="M79" i="7"/>
  <c r="N79" i="7"/>
  <c r="O79" i="7"/>
  <c r="P79" i="7"/>
  <c r="Q79" i="7"/>
  <c r="T79" i="7"/>
  <c r="U79" i="7"/>
  <c r="V79" i="7"/>
  <c r="W79" i="7"/>
  <c r="X79" i="7"/>
  <c r="Y79" i="7"/>
  <c r="Z79" i="7"/>
  <c r="AA79" i="7"/>
  <c r="AB79" i="7"/>
  <c r="A80" i="7"/>
  <c r="B80" i="7"/>
  <c r="C80" i="7"/>
  <c r="E80" i="7"/>
  <c r="F80" i="7"/>
  <c r="G80" i="7"/>
  <c r="H80" i="7"/>
  <c r="I80" i="7"/>
  <c r="L80" i="7"/>
  <c r="M80" i="7"/>
  <c r="N80" i="7"/>
  <c r="O80" i="7"/>
  <c r="P80" i="7"/>
  <c r="Q80" i="7"/>
  <c r="T80" i="7"/>
  <c r="U80" i="7"/>
  <c r="V80" i="7"/>
  <c r="W80" i="7"/>
  <c r="X80" i="7"/>
  <c r="Y80" i="7"/>
  <c r="Z80" i="7"/>
  <c r="AA80" i="7"/>
  <c r="AB80" i="7"/>
  <c r="A81" i="7"/>
  <c r="B81" i="7"/>
  <c r="C81" i="7"/>
  <c r="E81" i="7"/>
  <c r="F81" i="7"/>
  <c r="G81" i="7"/>
  <c r="H81" i="7"/>
  <c r="I81" i="7"/>
  <c r="L81" i="7"/>
  <c r="M81" i="7"/>
  <c r="N81" i="7"/>
  <c r="O81" i="7"/>
  <c r="P81" i="7"/>
  <c r="Q81" i="7"/>
  <c r="T81" i="7"/>
  <c r="U81" i="7"/>
  <c r="V81" i="7"/>
  <c r="W81" i="7"/>
  <c r="X81" i="7"/>
  <c r="Y81" i="7"/>
  <c r="Z81" i="7"/>
  <c r="AA81" i="7"/>
  <c r="AB81" i="7"/>
  <c r="A82" i="7"/>
  <c r="B82" i="7"/>
  <c r="C82" i="7"/>
  <c r="E82" i="7"/>
  <c r="F82" i="7"/>
  <c r="G82" i="7"/>
  <c r="H82" i="7"/>
  <c r="I82" i="7"/>
  <c r="L82" i="7"/>
  <c r="M82" i="7"/>
  <c r="N82" i="7"/>
  <c r="O82" i="7"/>
  <c r="P82" i="7"/>
  <c r="Q82" i="7"/>
  <c r="T82" i="7"/>
  <c r="U82" i="7"/>
  <c r="V82" i="7"/>
  <c r="W82" i="7"/>
  <c r="X82" i="7"/>
  <c r="Y82" i="7"/>
  <c r="Z82" i="7"/>
  <c r="AA82" i="7"/>
  <c r="AB82" i="7"/>
  <c r="A83" i="7"/>
  <c r="B83" i="7"/>
  <c r="C83" i="7"/>
  <c r="E83" i="7"/>
  <c r="F83" i="7"/>
  <c r="G83" i="7"/>
  <c r="H83" i="7"/>
  <c r="I83" i="7"/>
  <c r="L83" i="7"/>
  <c r="M83" i="7"/>
  <c r="N83" i="7"/>
  <c r="O83" i="7"/>
  <c r="P83" i="7"/>
  <c r="Q83" i="7"/>
  <c r="T83" i="7"/>
  <c r="U83" i="7"/>
  <c r="V83" i="7"/>
  <c r="W83" i="7"/>
  <c r="X83" i="7"/>
  <c r="Y83" i="7"/>
  <c r="Z83" i="7"/>
  <c r="AA83" i="7"/>
  <c r="AB83" i="7"/>
  <c r="A84" i="7"/>
  <c r="B84" i="7"/>
  <c r="C84" i="7"/>
  <c r="E84" i="7"/>
  <c r="F84" i="7"/>
  <c r="G84" i="7"/>
  <c r="H84" i="7"/>
  <c r="I84" i="7"/>
  <c r="L84" i="7"/>
  <c r="M84" i="7"/>
  <c r="N84" i="7"/>
  <c r="O84" i="7"/>
  <c r="P84" i="7"/>
  <c r="Q84" i="7"/>
  <c r="T84" i="7"/>
  <c r="U84" i="7"/>
  <c r="V84" i="7"/>
  <c r="W84" i="7"/>
  <c r="X84" i="7"/>
  <c r="Y84" i="7"/>
  <c r="Z84" i="7"/>
  <c r="AA84" i="7"/>
  <c r="AB84" i="7"/>
  <c r="A85" i="7"/>
  <c r="B85" i="7"/>
  <c r="C85" i="7"/>
  <c r="E85" i="7"/>
  <c r="F85" i="7"/>
  <c r="G85" i="7"/>
  <c r="H85" i="7"/>
  <c r="I85" i="7"/>
  <c r="L85" i="7"/>
  <c r="M85" i="7"/>
  <c r="N85" i="7"/>
  <c r="O85" i="7"/>
  <c r="P85" i="7"/>
  <c r="Q85" i="7"/>
  <c r="T85" i="7"/>
  <c r="U85" i="7"/>
  <c r="V85" i="7"/>
  <c r="W85" i="7"/>
  <c r="X85" i="7"/>
  <c r="Y85" i="7"/>
  <c r="Z85" i="7"/>
  <c r="AA85" i="7"/>
  <c r="AB85" i="7"/>
  <c r="A86" i="7"/>
  <c r="B86" i="7"/>
  <c r="C86" i="7"/>
  <c r="E86" i="7"/>
  <c r="F86" i="7"/>
  <c r="G86" i="7"/>
  <c r="H86" i="7"/>
  <c r="I86" i="7"/>
  <c r="L86" i="7"/>
  <c r="M86" i="7"/>
  <c r="N86" i="7"/>
  <c r="O86" i="7"/>
  <c r="P86" i="7"/>
  <c r="Q86" i="7"/>
  <c r="T86" i="7"/>
  <c r="U86" i="7"/>
  <c r="V86" i="7"/>
  <c r="W86" i="7"/>
  <c r="X86" i="7"/>
  <c r="Y86" i="7"/>
  <c r="Z86" i="7"/>
  <c r="AA86" i="7"/>
  <c r="AB86" i="7"/>
  <c r="A87" i="7"/>
  <c r="B87" i="7"/>
  <c r="C87" i="7"/>
  <c r="E87" i="7"/>
  <c r="F87" i="7"/>
  <c r="G87" i="7"/>
  <c r="H87" i="7"/>
  <c r="I87" i="7"/>
  <c r="L87" i="7"/>
  <c r="M87" i="7"/>
  <c r="N87" i="7"/>
  <c r="O87" i="7"/>
  <c r="P87" i="7"/>
  <c r="Q87" i="7"/>
  <c r="T87" i="7"/>
  <c r="U87" i="7"/>
  <c r="V87" i="7"/>
  <c r="W87" i="7"/>
  <c r="X87" i="7"/>
  <c r="Y87" i="7"/>
  <c r="Z87" i="7"/>
  <c r="AA87" i="7"/>
  <c r="AB87" i="7"/>
  <c r="A88" i="7"/>
  <c r="B88" i="7"/>
  <c r="C88" i="7"/>
  <c r="E88" i="7"/>
  <c r="F88" i="7"/>
  <c r="G88" i="7"/>
  <c r="H88" i="7"/>
  <c r="I88" i="7"/>
  <c r="L88" i="7"/>
  <c r="M88" i="7"/>
  <c r="N88" i="7"/>
  <c r="O88" i="7"/>
  <c r="P88" i="7"/>
  <c r="Q88" i="7"/>
  <c r="T88" i="7"/>
  <c r="U88" i="7"/>
  <c r="V88" i="7"/>
  <c r="W88" i="7"/>
  <c r="X88" i="7"/>
  <c r="Y88" i="7"/>
  <c r="Z88" i="7"/>
  <c r="AA88" i="7"/>
  <c r="AB88" i="7"/>
  <c r="A89" i="7"/>
  <c r="B89" i="7"/>
  <c r="C89" i="7"/>
  <c r="E89" i="7"/>
  <c r="F89" i="7"/>
  <c r="G89" i="7"/>
  <c r="H89" i="7"/>
  <c r="I89" i="7"/>
  <c r="L89" i="7"/>
  <c r="M89" i="7"/>
  <c r="N89" i="7"/>
  <c r="O89" i="7"/>
  <c r="P89" i="7"/>
  <c r="Q89" i="7"/>
  <c r="T89" i="7"/>
  <c r="U89" i="7"/>
  <c r="V89" i="7"/>
  <c r="W89" i="7"/>
  <c r="X89" i="7"/>
  <c r="Y89" i="7"/>
  <c r="Z89" i="7"/>
  <c r="AA89" i="7"/>
  <c r="AB89" i="7"/>
  <c r="A90" i="7"/>
  <c r="B90" i="7"/>
  <c r="C90" i="7"/>
  <c r="E90" i="7"/>
  <c r="F90" i="7"/>
  <c r="G90" i="7"/>
  <c r="H90" i="7"/>
  <c r="I90" i="7"/>
  <c r="L90" i="7"/>
  <c r="M90" i="7"/>
  <c r="N90" i="7"/>
  <c r="O90" i="7"/>
  <c r="P90" i="7"/>
  <c r="Q90" i="7"/>
  <c r="T90" i="7"/>
  <c r="U90" i="7"/>
  <c r="V90" i="7"/>
  <c r="W90" i="7"/>
  <c r="X90" i="7"/>
  <c r="Y90" i="7"/>
  <c r="Z90" i="7"/>
  <c r="AA90" i="7"/>
  <c r="AB90" i="7"/>
  <c r="A91" i="7"/>
  <c r="B91" i="7"/>
  <c r="C91" i="7"/>
  <c r="E91" i="7"/>
  <c r="F91" i="7"/>
  <c r="G91" i="7"/>
  <c r="H91" i="7"/>
  <c r="I91" i="7"/>
  <c r="L91" i="7"/>
  <c r="M91" i="7"/>
  <c r="N91" i="7"/>
  <c r="O91" i="7"/>
  <c r="P91" i="7"/>
  <c r="Q91" i="7"/>
  <c r="T91" i="7"/>
  <c r="U91" i="7"/>
  <c r="V91" i="7"/>
  <c r="W91" i="7"/>
  <c r="X91" i="7"/>
  <c r="Y91" i="7"/>
  <c r="Z91" i="7"/>
  <c r="AA91" i="7"/>
  <c r="AB91" i="7"/>
  <c r="A92" i="7"/>
  <c r="B92" i="7"/>
  <c r="C92" i="7"/>
  <c r="E92" i="7"/>
  <c r="F92" i="7"/>
  <c r="G92" i="7"/>
  <c r="H92" i="7"/>
  <c r="I92" i="7"/>
  <c r="L92" i="7"/>
  <c r="M92" i="7"/>
  <c r="N92" i="7"/>
  <c r="O92" i="7"/>
  <c r="P92" i="7"/>
  <c r="Q92" i="7"/>
  <c r="T92" i="7"/>
  <c r="U92" i="7"/>
  <c r="V92" i="7"/>
  <c r="W92" i="7"/>
  <c r="X92" i="7"/>
  <c r="Y92" i="7"/>
  <c r="Z92" i="7"/>
  <c r="AA92" i="7"/>
  <c r="AB92" i="7"/>
  <c r="A93" i="7"/>
  <c r="B93" i="7"/>
  <c r="C93" i="7"/>
  <c r="E93" i="7"/>
  <c r="F93" i="7"/>
  <c r="G93" i="7"/>
  <c r="H93" i="7"/>
  <c r="I93" i="7"/>
  <c r="L93" i="7"/>
  <c r="M93" i="7"/>
  <c r="N93" i="7"/>
  <c r="O93" i="7"/>
  <c r="P93" i="7"/>
  <c r="Q93" i="7"/>
  <c r="T93" i="7"/>
  <c r="U93" i="7"/>
  <c r="V93" i="7"/>
  <c r="W93" i="7"/>
  <c r="X93" i="7"/>
  <c r="Y93" i="7"/>
  <c r="Z93" i="7"/>
  <c r="AA93" i="7"/>
  <c r="AB93" i="7"/>
  <c r="A94" i="7"/>
  <c r="B94" i="7"/>
  <c r="C94" i="7"/>
  <c r="E94" i="7"/>
  <c r="F94" i="7"/>
  <c r="G94" i="7"/>
  <c r="H94" i="7"/>
  <c r="I94" i="7"/>
  <c r="L94" i="7"/>
  <c r="M94" i="7"/>
  <c r="N94" i="7"/>
  <c r="O94" i="7"/>
  <c r="P94" i="7"/>
  <c r="Q94" i="7"/>
  <c r="T94" i="7"/>
  <c r="U94" i="7"/>
  <c r="V94" i="7"/>
  <c r="W94" i="7"/>
  <c r="X94" i="7"/>
  <c r="Y94" i="7"/>
  <c r="Z94" i="7"/>
  <c r="AA94" i="7"/>
  <c r="AB94" i="7"/>
  <c r="A95" i="7"/>
  <c r="B95" i="7"/>
  <c r="C95" i="7"/>
  <c r="E95" i="7"/>
  <c r="F95" i="7"/>
  <c r="G95" i="7"/>
  <c r="H95" i="7"/>
  <c r="I95" i="7"/>
  <c r="L95" i="7"/>
  <c r="M95" i="7"/>
  <c r="N95" i="7"/>
  <c r="O95" i="7"/>
  <c r="P95" i="7"/>
  <c r="Q95" i="7"/>
  <c r="T95" i="7"/>
  <c r="U95" i="7"/>
  <c r="V95" i="7"/>
  <c r="W95" i="7"/>
  <c r="X95" i="7"/>
  <c r="Y95" i="7"/>
  <c r="Z95" i="7"/>
  <c r="AA95" i="7"/>
  <c r="AB95" i="7"/>
  <c r="A96" i="7"/>
  <c r="B96" i="7"/>
  <c r="C96" i="7"/>
  <c r="E96" i="7"/>
  <c r="F96" i="7"/>
  <c r="G96" i="7"/>
  <c r="H96" i="7"/>
  <c r="I96" i="7"/>
  <c r="L96" i="7"/>
  <c r="M96" i="7"/>
  <c r="N96" i="7"/>
  <c r="O96" i="7"/>
  <c r="P96" i="7"/>
  <c r="Q96" i="7"/>
  <c r="T96" i="7"/>
  <c r="U96" i="7"/>
  <c r="V96" i="7"/>
  <c r="W96" i="7"/>
  <c r="X96" i="7"/>
  <c r="Y96" i="7"/>
  <c r="Z96" i="7"/>
  <c r="AA96" i="7"/>
  <c r="AB96" i="7"/>
  <c r="A97" i="7"/>
  <c r="B97" i="7"/>
  <c r="C97" i="7"/>
  <c r="E97" i="7"/>
  <c r="F97" i="7"/>
  <c r="G97" i="7"/>
  <c r="H97" i="7"/>
  <c r="I97" i="7"/>
  <c r="L97" i="7"/>
  <c r="M97" i="7"/>
  <c r="N97" i="7"/>
  <c r="O97" i="7"/>
  <c r="P97" i="7"/>
  <c r="Q97" i="7"/>
  <c r="T97" i="7"/>
  <c r="U97" i="7"/>
  <c r="V97" i="7"/>
  <c r="W97" i="7"/>
  <c r="X97" i="7"/>
  <c r="Y97" i="7"/>
  <c r="Z97" i="7"/>
  <c r="AA97" i="7"/>
  <c r="AB97" i="7"/>
  <c r="A98" i="7"/>
  <c r="B98" i="7"/>
  <c r="C98" i="7"/>
  <c r="E98" i="7"/>
  <c r="F98" i="7"/>
  <c r="G98" i="7"/>
  <c r="H98" i="7"/>
  <c r="I98" i="7"/>
  <c r="L98" i="7"/>
  <c r="M98" i="7"/>
  <c r="N98" i="7"/>
  <c r="O98" i="7"/>
  <c r="P98" i="7"/>
  <c r="Q98" i="7"/>
  <c r="T98" i="7"/>
  <c r="U98" i="7"/>
  <c r="V98" i="7"/>
  <c r="W98" i="7"/>
  <c r="X98" i="7"/>
  <c r="Y98" i="7"/>
  <c r="Z98" i="7"/>
  <c r="AA98" i="7"/>
  <c r="AB98" i="7"/>
  <c r="A99" i="7"/>
  <c r="B99" i="7"/>
  <c r="C99" i="7"/>
  <c r="E99" i="7"/>
  <c r="F99" i="7"/>
  <c r="G99" i="7"/>
  <c r="H99" i="7"/>
  <c r="I99" i="7"/>
  <c r="L99" i="7"/>
  <c r="M99" i="7"/>
  <c r="N99" i="7"/>
  <c r="O99" i="7"/>
  <c r="P99" i="7"/>
  <c r="Q99" i="7"/>
  <c r="T99" i="7"/>
  <c r="U99" i="7"/>
  <c r="V99" i="7"/>
  <c r="W99" i="7"/>
  <c r="X99" i="7"/>
  <c r="Y99" i="7"/>
  <c r="Z99" i="7"/>
  <c r="AA99" i="7"/>
  <c r="AB99" i="7"/>
  <c r="A100" i="7"/>
  <c r="B100" i="7"/>
  <c r="C100" i="7"/>
  <c r="E100" i="7"/>
  <c r="F100" i="7"/>
  <c r="G100" i="7"/>
  <c r="H100" i="7"/>
  <c r="I100" i="7"/>
  <c r="L100" i="7"/>
  <c r="M100" i="7"/>
  <c r="N100" i="7"/>
  <c r="O100" i="7"/>
  <c r="P100" i="7"/>
  <c r="Q100" i="7"/>
  <c r="T100" i="7"/>
  <c r="U100" i="7"/>
  <c r="V100" i="7"/>
  <c r="W100" i="7"/>
  <c r="X100" i="7"/>
  <c r="Y100" i="7"/>
  <c r="Z100" i="7"/>
  <c r="AA100" i="7"/>
  <c r="AB100" i="7"/>
  <c r="A101" i="7"/>
  <c r="B101" i="7"/>
  <c r="C101" i="7"/>
  <c r="E101" i="7"/>
  <c r="F101" i="7"/>
  <c r="G101" i="7"/>
  <c r="H101" i="7"/>
  <c r="I101" i="7"/>
  <c r="L101" i="7"/>
  <c r="M101" i="7"/>
  <c r="N101" i="7"/>
  <c r="O101" i="7"/>
  <c r="P101" i="7"/>
  <c r="Q101" i="7"/>
  <c r="T101" i="7"/>
  <c r="U101" i="7"/>
  <c r="V101" i="7"/>
  <c r="W101" i="7"/>
  <c r="X101" i="7"/>
  <c r="Y101" i="7"/>
  <c r="Z101" i="7"/>
  <c r="AA101" i="7"/>
  <c r="AB101" i="7"/>
  <c r="A102" i="7"/>
  <c r="B102" i="7"/>
  <c r="C102" i="7"/>
  <c r="E102" i="7"/>
  <c r="F102" i="7"/>
  <c r="G102" i="7"/>
  <c r="H102" i="7"/>
  <c r="I102" i="7"/>
  <c r="L102" i="7"/>
  <c r="M102" i="7"/>
  <c r="N102" i="7"/>
  <c r="O102" i="7"/>
  <c r="P102" i="7"/>
  <c r="Q102" i="7"/>
  <c r="T102" i="7"/>
  <c r="U102" i="7"/>
  <c r="V102" i="7"/>
  <c r="W102" i="7"/>
  <c r="X102" i="7"/>
  <c r="Y102" i="7"/>
  <c r="Z102" i="7"/>
  <c r="AA102" i="7"/>
  <c r="AB102" i="7"/>
  <c r="A103" i="7"/>
  <c r="B103" i="7"/>
  <c r="C103" i="7"/>
  <c r="E103" i="7"/>
  <c r="F103" i="7"/>
  <c r="G103" i="7"/>
  <c r="H103" i="7"/>
  <c r="I103" i="7"/>
  <c r="L103" i="7"/>
  <c r="M103" i="7"/>
  <c r="N103" i="7"/>
  <c r="O103" i="7"/>
  <c r="P103" i="7"/>
  <c r="Q103" i="7"/>
  <c r="T103" i="7"/>
  <c r="U103" i="7"/>
  <c r="V103" i="7"/>
  <c r="W103" i="7"/>
  <c r="X103" i="7"/>
  <c r="Y103" i="7"/>
  <c r="Z103" i="7"/>
  <c r="AA103" i="7"/>
  <c r="AB103" i="7"/>
  <c r="A104" i="7"/>
  <c r="B104" i="7"/>
  <c r="C104" i="7"/>
  <c r="E104" i="7"/>
  <c r="F104" i="7"/>
  <c r="G104" i="7"/>
  <c r="H104" i="7"/>
  <c r="I104" i="7"/>
  <c r="L104" i="7"/>
  <c r="M104" i="7"/>
  <c r="N104" i="7"/>
  <c r="O104" i="7"/>
  <c r="P104" i="7"/>
  <c r="Q104" i="7"/>
  <c r="T104" i="7"/>
  <c r="U104" i="7"/>
  <c r="V104" i="7"/>
  <c r="W104" i="7"/>
  <c r="X104" i="7"/>
  <c r="Y104" i="7"/>
  <c r="Z104" i="7"/>
  <c r="AA104" i="7"/>
  <c r="AB104" i="7"/>
  <c r="A105" i="7"/>
  <c r="B105" i="7"/>
  <c r="C105" i="7"/>
  <c r="E105" i="7"/>
  <c r="F105" i="7"/>
  <c r="G105" i="7"/>
  <c r="H105" i="7"/>
  <c r="I105" i="7"/>
  <c r="L105" i="7"/>
  <c r="M105" i="7"/>
  <c r="N105" i="7"/>
  <c r="O105" i="7"/>
  <c r="P105" i="7"/>
  <c r="Q105" i="7"/>
  <c r="T105" i="7"/>
  <c r="U105" i="7"/>
  <c r="V105" i="7"/>
  <c r="W105" i="7"/>
  <c r="X105" i="7"/>
  <c r="Y105" i="7"/>
  <c r="Z105" i="7"/>
  <c r="AA105" i="7"/>
  <c r="AB105" i="7"/>
  <c r="A106" i="7"/>
  <c r="B106" i="7"/>
  <c r="C106" i="7"/>
  <c r="E106" i="7"/>
  <c r="F106" i="7"/>
  <c r="G106" i="7"/>
  <c r="H106" i="7"/>
  <c r="I106" i="7"/>
  <c r="L106" i="7"/>
  <c r="M106" i="7"/>
  <c r="N106" i="7"/>
  <c r="O106" i="7"/>
  <c r="P106" i="7"/>
  <c r="Q106" i="7"/>
  <c r="T106" i="7"/>
  <c r="U106" i="7"/>
  <c r="V106" i="7"/>
  <c r="W106" i="7"/>
  <c r="X106" i="7"/>
  <c r="Y106" i="7"/>
  <c r="Z106" i="7"/>
  <c r="AA106" i="7"/>
  <c r="AB106" i="7"/>
  <c r="A107" i="7"/>
  <c r="B107" i="7"/>
  <c r="C107" i="7"/>
  <c r="E107" i="7"/>
  <c r="F107" i="7"/>
  <c r="G107" i="7"/>
  <c r="H107" i="7"/>
  <c r="I107" i="7"/>
  <c r="L107" i="7"/>
  <c r="M107" i="7"/>
  <c r="N107" i="7"/>
  <c r="O107" i="7"/>
  <c r="P107" i="7"/>
  <c r="Q107" i="7"/>
  <c r="T107" i="7"/>
  <c r="U107" i="7"/>
  <c r="V107" i="7"/>
  <c r="W107" i="7"/>
  <c r="X107" i="7"/>
  <c r="Y107" i="7"/>
  <c r="Z107" i="7"/>
  <c r="AA107" i="7"/>
  <c r="AB107" i="7"/>
  <c r="A108" i="7"/>
  <c r="B108" i="7"/>
  <c r="C108" i="7"/>
  <c r="E108" i="7"/>
  <c r="F108" i="7"/>
  <c r="G108" i="7"/>
  <c r="H108" i="7"/>
  <c r="I108" i="7"/>
  <c r="L108" i="7"/>
  <c r="M108" i="7"/>
  <c r="N108" i="7"/>
  <c r="O108" i="7"/>
  <c r="P108" i="7"/>
  <c r="Q108" i="7"/>
  <c r="T108" i="7"/>
  <c r="U108" i="7"/>
  <c r="V108" i="7"/>
  <c r="W108" i="7"/>
  <c r="X108" i="7"/>
  <c r="Y108" i="7"/>
  <c r="Z108" i="7"/>
  <c r="AA108" i="7"/>
  <c r="AB108" i="7"/>
  <c r="A109" i="7"/>
  <c r="B109" i="7"/>
  <c r="C109" i="7"/>
  <c r="E109" i="7"/>
  <c r="F109" i="7"/>
  <c r="G109" i="7"/>
  <c r="H109" i="7"/>
  <c r="I109" i="7"/>
  <c r="L109" i="7"/>
  <c r="M109" i="7"/>
  <c r="N109" i="7"/>
  <c r="O109" i="7"/>
  <c r="P109" i="7"/>
  <c r="Q109" i="7"/>
  <c r="T109" i="7"/>
  <c r="U109" i="7"/>
  <c r="V109" i="7"/>
  <c r="W109" i="7"/>
  <c r="X109" i="7"/>
  <c r="Y109" i="7"/>
  <c r="Z109" i="7"/>
  <c r="AA109" i="7"/>
  <c r="AB109" i="7"/>
  <c r="A110" i="7"/>
  <c r="B110" i="7"/>
  <c r="C110" i="7"/>
  <c r="E110" i="7"/>
  <c r="F110" i="7"/>
  <c r="G110" i="7"/>
  <c r="H110" i="7"/>
  <c r="I110" i="7"/>
  <c r="L110" i="7"/>
  <c r="M110" i="7"/>
  <c r="N110" i="7"/>
  <c r="O110" i="7"/>
  <c r="P110" i="7"/>
  <c r="Q110" i="7"/>
  <c r="T110" i="7"/>
  <c r="U110" i="7"/>
  <c r="V110" i="7"/>
  <c r="W110" i="7"/>
  <c r="X110" i="7"/>
  <c r="Y110" i="7"/>
  <c r="Z110" i="7"/>
  <c r="AA110" i="7"/>
  <c r="AB110" i="7"/>
  <c r="A111" i="7"/>
  <c r="B111" i="7"/>
  <c r="C111" i="7"/>
  <c r="E111" i="7"/>
  <c r="F111" i="7"/>
  <c r="G111" i="7"/>
  <c r="H111" i="7"/>
  <c r="I111" i="7"/>
  <c r="L111" i="7"/>
  <c r="M111" i="7"/>
  <c r="N111" i="7"/>
  <c r="O111" i="7"/>
  <c r="P111" i="7"/>
  <c r="Q111" i="7"/>
  <c r="T111" i="7"/>
  <c r="U111" i="7"/>
  <c r="V111" i="7"/>
  <c r="W111" i="7"/>
  <c r="X111" i="7"/>
  <c r="Y111" i="7"/>
  <c r="Z111" i="7"/>
  <c r="AA111" i="7"/>
  <c r="AB111" i="7"/>
  <c r="A112" i="7"/>
  <c r="B112" i="7"/>
  <c r="C112" i="7"/>
  <c r="E112" i="7"/>
  <c r="F112" i="7"/>
  <c r="G112" i="7"/>
  <c r="H112" i="7"/>
  <c r="I112" i="7"/>
  <c r="L112" i="7"/>
  <c r="M112" i="7"/>
  <c r="N112" i="7"/>
  <c r="O112" i="7"/>
  <c r="P112" i="7"/>
  <c r="Q112" i="7"/>
  <c r="T112" i="7"/>
  <c r="U112" i="7"/>
  <c r="V112" i="7"/>
  <c r="W112" i="7"/>
  <c r="X112" i="7"/>
  <c r="Y112" i="7"/>
  <c r="Z112" i="7"/>
  <c r="AA112" i="7"/>
  <c r="AB112" i="7"/>
  <c r="A113" i="7"/>
  <c r="B113" i="7"/>
  <c r="C113" i="7"/>
  <c r="E113" i="7"/>
  <c r="F113" i="7"/>
  <c r="G113" i="7"/>
  <c r="H113" i="7"/>
  <c r="I113" i="7"/>
  <c r="L113" i="7"/>
  <c r="M113" i="7"/>
  <c r="N113" i="7"/>
  <c r="O113" i="7"/>
  <c r="P113" i="7"/>
  <c r="Q113" i="7"/>
  <c r="T113" i="7"/>
  <c r="U113" i="7"/>
  <c r="V113" i="7"/>
  <c r="W113" i="7"/>
  <c r="X113" i="7"/>
  <c r="Y113" i="7"/>
  <c r="Z113" i="7"/>
  <c r="AA113" i="7"/>
  <c r="AB113" i="7"/>
  <c r="A114" i="7"/>
  <c r="B114" i="7"/>
  <c r="C114" i="7"/>
  <c r="E114" i="7"/>
  <c r="F114" i="7"/>
  <c r="G114" i="7"/>
  <c r="H114" i="7"/>
  <c r="I114" i="7"/>
  <c r="L114" i="7"/>
  <c r="M114" i="7"/>
  <c r="N114" i="7"/>
  <c r="O114" i="7"/>
  <c r="P114" i="7"/>
  <c r="Q114" i="7"/>
  <c r="T114" i="7"/>
  <c r="U114" i="7"/>
  <c r="V114" i="7"/>
  <c r="W114" i="7"/>
  <c r="X114" i="7"/>
  <c r="Y114" i="7"/>
  <c r="Z114" i="7"/>
  <c r="AA114" i="7"/>
  <c r="AB114" i="7"/>
  <c r="A115" i="7"/>
  <c r="B115" i="7"/>
  <c r="C115" i="7"/>
  <c r="E115" i="7"/>
  <c r="F115" i="7"/>
  <c r="G115" i="7"/>
  <c r="H115" i="7"/>
  <c r="I115" i="7"/>
  <c r="L115" i="7"/>
  <c r="M115" i="7"/>
  <c r="N115" i="7"/>
  <c r="O115" i="7"/>
  <c r="P115" i="7"/>
  <c r="Q115" i="7"/>
  <c r="T115" i="7"/>
  <c r="U115" i="7"/>
  <c r="V115" i="7"/>
  <c r="W115" i="7"/>
  <c r="X115" i="7"/>
  <c r="Y115" i="7"/>
  <c r="Z115" i="7"/>
  <c r="AA115" i="7"/>
  <c r="AB115" i="7"/>
  <c r="A116" i="7"/>
  <c r="B116" i="7"/>
  <c r="C116" i="7"/>
  <c r="E116" i="7"/>
  <c r="F116" i="7"/>
  <c r="G116" i="7"/>
  <c r="H116" i="7"/>
  <c r="I116" i="7"/>
  <c r="L116" i="7"/>
  <c r="M116" i="7"/>
  <c r="N116" i="7"/>
  <c r="O116" i="7"/>
  <c r="P116" i="7"/>
  <c r="Q116" i="7"/>
  <c r="T116" i="7"/>
  <c r="U116" i="7"/>
  <c r="V116" i="7"/>
  <c r="W116" i="7"/>
  <c r="X116" i="7"/>
  <c r="Y116" i="7"/>
  <c r="Z116" i="7"/>
  <c r="AA116" i="7"/>
  <c r="AB116" i="7"/>
  <c r="A117" i="7"/>
  <c r="B117" i="7"/>
  <c r="C117" i="7"/>
  <c r="E117" i="7"/>
  <c r="F117" i="7"/>
  <c r="G117" i="7"/>
  <c r="H117" i="7"/>
  <c r="I117" i="7"/>
  <c r="L117" i="7"/>
  <c r="M117" i="7"/>
  <c r="N117" i="7"/>
  <c r="O117" i="7"/>
  <c r="P117" i="7"/>
  <c r="Q117" i="7"/>
  <c r="T117" i="7"/>
  <c r="U117" i="7"/>
  <c r="V117" i="7"/>
  <c r="W117" i="7"/>
  <c r="X117" i="7"/>
  <c r="Y117" i="7"/>
  <c r="Z117" i="7"/>
  <c r="AA117" i="7"/>
  <c r="AB117" i="7"/>
  <c r="A118" i="7"/>
  <c r="B118" i="7"/>
  <c r="C118" i="7"/>
  <c r="E118" i="7"/>
  <c r="F118" i="7"/>
  <c r="G118" i="7"/>
  <c r="H118" i="7"/>
  <c r="I118" i="7"/>
  <c r="L118" i="7"/>
  <c r="M118" i="7"/>
  <c r="N118" i="7"/>
  <c r="O118" i="7"/>
  <c r="P118" i="7"/>
  <c r="Q118" i="7"/>
  <c r="T118" i="7"/>
  <c r="U118" i="7"/>
  <c r="V118" i="7"/>
  <c r="W118" i="7"/>
  <c r="X118" i="7"/>
  <c r="Y118" i="7"/>
  <c r="Z118" i="7"/>
  <c r="AA118" i="7"/>
  <c r="AB118" i="7"/>
  <c r="A119" i="7"/>
  <c r="B119" i="7"/>
  <c r="C119" i="7"/>
  <c r="E119" i="7"/>
  <c r="F119" i="7"/>
  <c r="G119" i="7"/>
  <c r="H119" i="7"/>
  <c r="I119" i="7"/>
  <c r="L119" i="7"/>
  <c r="M119" i="7"/>
  <c r="N119" i="7"/>
  <c r="O119" i="7"/>
  <c r="P119" i="7"/>
  <c r="Q119" i="7"/>
  <c r="T119" i="7"/>
  <c r="U119" i="7"/>
  <c r="V119" i="7"/>
  <c r="W119" i="7"/>
  <c r="X119" i="7"/>
  <c r="Y119" i="7"/>
  <c r="Z119" i="7"/>
  <c r="AA119" i="7"/>
  <c r="AB119" i="7"/>
  <c r="A120" i="7"/>
  <c r="B120" i="7"/>
  <c r="C120" i="7"/>
  <c r="E120" i="7"/>
  <c r="F120" i="7"/>
  <c r="G120" i="7"/>
  <c r="H120" i="7"/>
  <c r="I120" i="7"/>
  <c r="L120" i="7"/>
  <c r="M120" i="7"/>
  <c r="N120" i="7"/>
  <c r="O120" i="7"/>
  <c r="P120" i="7"/>
  <c r="Q120" i="7"/>
  <c r="T120" i="7"/>
  <c r="U120" i="7"/>
  <c r="V120" i="7"/>
  <c r="W120" i="7"/>
  <c r="X120" i="7"/>
  <c r="Y120" i="7"/>
  <c r="Z120" i="7"/>
  <c r="AA120" i="7"/>
  <c r="AB120" i="7"/>
  <c r="A121" i="7"/>
  <c r="B121" i="7"/>
  <c r="C121" i="7"/>
  <c r="E121" i="7"/>
  <c r="F121" i="7"/>
  <c r="G121" i="7"/>
  <c r="H121" i="7"/>
  <c r="I121" i="7"/>
  <c r="L121" i="7"/>
  <c r="M121" i="7"/>
  <c r="N121" i="7"/>
  <c r="O121" i="7"/>
  <c r="P121" i="7"/>
  <c r="Q121" i="7"/>
  <c r="T121" i="7"/>
  <c r="U121" i="7"/>
  <c r="V121" i="7"/>
  <c r="W121" i="7"/>
  <c r="X121" i="7"/>
  <c r="Y121" i="7"/>
  <c r="Z121" i="7"/>
  <c r="AA121" i="7"/>
  <c r="AB121" i="7"/>
  <c r="A122" i="7"/>
  <c r="B122" i="7"/>
  <c r="C122" i="7"/>
  <c r="E122" i="7"/>
  <c r="F122" i="7"/>
  <c r="G122" i="7"/>
  <c r="H122" i="7"/>
  <c r="I122" i="7"/>
  <c r="L122" i="7"/>
  <c r="M122" i="7"/>
  <c r="N122" i="7"/>
  <c r="O122" i="7"/>
  <c r="P122" i="7"/>
  <c r="Q122" i="7"/>
  <c r="T122" i="7"/>
  <c r="U122" i="7"/>
  <c r="V122" i="7"/>
  <c r="W122" i="7"/>
  <c r="X122" i="7"/>
  <c r="Y122" i="7"/>
  <c r="Z122" i="7"/>
  <c r="AA122" i="7"/>
  <c r="AB122" i="7"/>
  <c r="A123" i="7"/>
  <c r="B123" i="7"/>
  <c r="C123" i="7"/>
  <c r="E123" i="7"/>
  <c r="F123" i="7"/>
  <c r="G123" i="7"/>
  <c r="H123" i="7"/>
  <c r="I123" i="7"/>
  <c r="L123" i="7"/>
  <c r="M123" i="7"/>
  <c r="N123" i="7"/>
  <c r="O123" i="7"/>
  <c r="P123" i="7"/>
  <c r="Q123" i="7"/>
  <c r="T123" i="7"/>
  <c r="U123" i="7"/>
  <c r="V123" i="7"/>
  <c r="W123" i="7"/>
  <c r="X123" i="7"/>
  <c r="Y123" i="7"/>
  <c r="Z123" i="7"/>
  <c r="AA123" i="7"/>
  <c r="AB123" i="7"/>
  <c r="A124" i="7"/>
  <c r="B124" i="7"/>
  <c r="C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T124" i="7"/>
  <c r="U124" i="7"/>
  <c r="V124" i="7"/>
  <c r="W124" i="7"/>
  <c r="X124" i="7"/>
  <c r="Y124" i="7"/>
  <c r="Z124" i="7"/>
  <c r="AA124" i="7"/>
  <c r="AB124" i="7"/>
  <c r="A125" i="7"/>
  <c r="B125" i="7"/>
  <c r="C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T125" i="7"/>
  <c r="U125" i="7"/>
  <c r="V125" i="7"/>
  <c r="W125" i="7"/>
  <c r="X125" i="7"/>
  <c r="Y125" i="7"/>
  <c r="Z125" i="7"/>
  <c r="AA125" i="7"/>
  <c r="AB125" i="7"/>
  <c r="A126" i="7"/>
  <c r="B126" i="7"/>
  <c r="C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T126" i="7"/>
  <c r="U126" i="7"/>
  <c r="V126" i="7"/>
  <c r="W126" i="7"/>
  <c r="X126" i="7"/>
  <c r="Y126" i="7"/>
  <c r="Z126" i="7"/>
  <c r="AA126" i="7"/>
  <c r="AB126" i="7"/>
  <c r="A127" i="7"/>
  <c r="B127" i="7"/>
  <c r="C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T127" i="7"/>
  <c r="U127" i="7"/>
  <c r="V127" i="7"/>
  <c r="W127" i="7"/>
  <c r="X127" i="7"/>
  <c r="Y127" i="7"/>
  <c r="Z127" i="7"/>
  <c r="AA127" i="7"/>
  <c r="AB127" i="7"/>
  <c r="A128" i="7"/>
  <c r="B128" i="7"/>
  <c r="C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T128" i="7"/>
  <c r="U128" i="7"/>
  <c r="V128" i="7"/>
  <c r="W128" i="7"/>
  <c r="X128" i="7"/>
  <c r="Y128" i="7"/>
  <c r="Z128" i="7"/>
  <c r="AA128" i="7"/>
  <c r="AB128" i="7"/>
  <c r="A129" i="7"/>
  <c r="B129" i="7"/>
  <c r="C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T129" i="7"/>
  <c r="U129" i="7"/>
  <c r="V129" i="7"/>
  <c r="W129" i="7"/>
  <c r="X129" i="7"/>
  <c r="Y129" i="7"/>
  <c r="Z129" i="7"/>
  <c r="AA129" i="7"/>
  <c r="AB129" i="7"/>
  <c r="A130" i="7"/>
  <c r="B130" i="7"/>
  <c r="C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T130" i="7"/>
  <c r="U130" i="7"/>
  <c r="V130" i="7"/>
  <c r="W130" i="7"/>
  <c r="X130" i="7"/>
  <c r="Y130" i="7"/>
  <c r="Z130" i="7"/>
  <c r="AA130" i="7"/>
  <c r="AB130" i="7"/>
  <c r="A131" i="7"/>
  <c r="B131" i="7"/>
  <c r="C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T131" i="7"/>
  <c r="U131" i="7"/>
  <c r="V131" i="7"/>
  <c r="W131" i="7"/>
  <c r="X131" i="7"/>
  <c r="Y131" i="7"/>
  <c r="Z131" i="7"/>
  <c r="AA131" i="7"/>
  <c r="AB131" i="7"/>
  <c r="A132" i="7"/>
  <c r="B132" i="7"/>
  <c r="C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T132" i="7"/>
  <c r="U132" i="7"/>
  <c r="V132" i="7"/>
  <c r="W132" i="7"/>
  <c r="X132" i="7"/>
  <c r="Y132" i="7"/>
  <c r="Z132" i="7"/>
  <c r="AA132" i="7"/>
  <c r="AB132" i="7"/>
  <c r="A133" i="7"/>
  <c r="B133" i="7"/>
  <c r="C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T133" i="7"/>
  <c r="U133" i="7"/>
  <c r="V133" i="7"/>
  <c r="W133" i="7"/>
  <c r="X133" i="7"/>
  <c r="Y133" i="7"/>
  <c r="Z133" i="7"/>
  <c r="AA133" i="7"/>
  <c r="AB133" i="7"/>
  <c r="A134" i="7"/>
  <c r="B134" i="7"/>
  <c r="C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T134" i="7"/>
  <c r="U134" i="7"/>
  <c r="V134" i="7"/>
  <c r="W134" i="7"/>
  <c r="X134" i="7"/>
  <c r="Y134" i="7"/>
  <c r="Z134" i="7"/>
  <c r="AA134" i="7"/>
  <c r="AB134" i="7"/>
  <c r="A135" i="7"/>
  <c r="B135" i="7"/>
  <c r="C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T135" i="7"/>
  <c r="U135" i="7"/>
  <c r="V135" i="7"/>
  <c r="W135" i="7"/>
  <c r="X135" i="7"/>
  <c r="Y135" i="7"/>
  <c r="Z135" i="7"/>
  <c r="AA135" i="7"/>
  <c r="AB135" i="7"/>
  <c r="A136" i="7"/>
  <c r="B136" i="7"/>
  <c r="C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T136" i="7"/>
  <c r="U136" i="7"/>
  <c r="V136" i="7"/>
  <c r="W136" i="7"/>
  <c r="X136" i="7"/>
  <c r="Y136" i="7"/>
  <c r="Z136" i="7"/>
  <c r="AA136" i="7"/>
  <c r="AB136" i="7"/>
  <c r="A137" i="7"/>
  <c r="B137" i="7"/>
  <c r="C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T137" i="7"/>
  <c r="U137" i="7"/>
  <c r="V137" i="7"/>
  <c r="W137" i="7"/>
  <c r="X137" i="7"/>
  <c r="Y137" i="7"/>
  <c r="Z137" i="7"/>
  <c r="AA137" i="7"/>
  <c r="AB137" i="7"/>
  <c r="A138" i="7"/>
  <c r="B138" i="7"/>
  <c r="C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T138" i="7"/>
  <c r="U138" i="7"/>
  <c r="V138" i="7"/>
  <c r="W138" i="7"/>
  <c r="X138" i="7"/>
  <c r="Y138" i="7"/>
  <c r="Z138" i="7"/>
  <c r="AA138" i="7"/>
  <c r="AB138" i="7"/>
  <c r="A139" i="7"/>
  <c r="B139" i="7"/>
  <c r="C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T139" i="7"/>
  <c r="U139" i="7"/>
  <c r="V139" i="7"/>
  <c r="W139" i="7"/>
  <c r="X139" i="7"/>
  <c r="Y139" i="7"/>
  <c r="Z139" i="7"/>
  <c r="AA139" i="7"/>
  <c r="AB139" i="7"/>
  <c r="A140" i="7"/>
  <c r="B140" i="7"/>
  <c r="C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T140" i="7"/>
  <c r="U140" i="7"/>
  <c r="V140" i="7"/>
  <c r="W140" i="7"/>
  <c r="X140" i="7"/>
  <c r="Y140" i="7"/>
  <c r="Z140" i="7"/>
  <c r="AA140" i="7"/>
  <c r="AB140" i="7"/>
  <c r="A141" i="7"/>
  <c r="B141" i="7"/>
  <c r="C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T141" i="7"/>
  <c r="U141" i="7"/>
  <c r="V141" i="7"/>
  <c r="W141" i="7"/>
  <c r="X141" i="7"/>
  <c r="Y141" i="7"/>
  <c r="Z141" i="7"/>
  <c r="AA141" i="7"/>
  <c r="AB141" i="7"/>
  <c r="A142" i="7"/>
  <c r="B142" i="7"/>
  <c r="C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T142" i="7"/>
  <c r="U142" i="7"/>
  <c r="V142" i="7"/>
  <c r="W142" i="7"/>
  <c r="X142" i="7"/>
  <c r="Y142" i="7"/>
  <c r="Z142" i="7"/>
  <c r="AA142" i="7"/>
  <c r="AB142" i="7"/>
  <c r="A143" i="7"/>
  <c r="B143" i="7"/>
  <c r="C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T143" i="7"/>
  <c r="U143" i="7"/>
  <c r="V143" i="7"/>
  <c r="W143" i="7"/>
  <c r="X143" i="7"/>
  <c r="Y143" i="7"/>
  <c r="Z143" i="7"/>
  <c r="AA143" i="7"/>
  <c r="AB143" i="7"/>
  <c r="A144" i="7"/>
  <c r="B144" i="7"/>
  <c r="C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T144" i="7"/>
  <c r="U144" i="7"/>
  <c r="V144" i="7"/>
  <c r="W144" i="7"/>
  <c r="X144" i="7"/>
  <c r="Y144" i="7"/>
  <c r="Z144" i="7"/>
  <c r="AA144" i="7"/>
  <c r="AB144" i="7"/>
  <c r="A145" i="7"/>
  <c r="B145" i="7"/>
  <c r="C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T145" i="7"/>
  <c r="U145" i="7"/>
  <c r="V145" i="7"/>
  <c r="W145" i="7"/>
  <c r="X145" i="7"/>
  <c r="Y145" i="7"/>
  <c r="Z145" i="7"/>
  <c r="AA145" i="7"/>
  <c r="AB145" i="7"/>
  <c r="A146" i="7"/>
  <c r="B146" i="7"/>
  <c r="C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T146" i="7"/>
  <c r="U146" i="7"/>
  <c r="V146" i="7"/>
  <c r="W146" i="7"/>
  <c r="X146" i="7"/>
  <c r="Y146" i="7"/>
  <c r="Z146" i="7"/>
  <c r="AA146" i="7"/>
  <c r="AB146" i="7"/>
  <c r="A147" i="7"/>
  <c r="B147" i="7"/>
  <c r="C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T147" i="7"/>
  <c r="U147" i="7"/>
  <c r="V147" i="7"/>
  <c r="W147" i="7"/>
  <c r="X147" i="7"/>
  <c r="Y147" i="7"/>
  <c r="Z147" i="7"/>
  <c r="AA147" i="7"/>
  <c r="AB147" i="7"/>
  <c r="A148" i="7"/>
  <c r="B148" i="7"/>
  <c r="C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T148" i="7"/>
  <c r="U148" i="7"/>
  <c r="V148" i="7"/>
  <c r="W148" i="7"/>
  <c r="X148" i="7"/>
  <c r="Y148" i="7"/>
  <c r="Z148" i="7"/>
  <c r="AA148" i="7"/>
  <c r="AB148" i="7"/>
  <c r="A149" i="7"/>
  <c r="B149" i="7"/>
  <c r="C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T149" i="7"/>
  <c r="U149" i="7"/>
  <c r="V149" i="7"/>
  <c r="W149" i="7"/>
  <c r="X149" i="7"/>
  <c r="Y149" i="7"/>
  <c r="Z149" i="7"/>
  <c r="AA149" i="7"/>
  <c r="AB149" i="7"/>
  <c r="A150" i="7"/>
  <c r="B150" i="7"/>
  <c r="C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T150" i="7"/>
  <c r="U150" i="7"/>
  <c r="V150" i="7"/>
  <c r="W150" i="7"/>
  <c r="X150" i="7"/>
  <c r="Y150" i="7"/>
  <c r="Z150" i="7"/>
  <c r="AA150" i="7"/>
  <c r="AB150" i="7"/>
  <c r="A151" i="7"/>
  <c r="B151" i="7"/>
  <c r="C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T151" i="7"/>
  <c r="U151" i="7"/>
  <c r="V151" i="7"/>
  <c r="W151" i="7"/>
  <c r="X151" i="7"/>
  <c r="Y151" i="7"/>
  <c r="Z151" i="7"/>
  <c r="AA151" i="7"/>
  <c r="AB151" i="7"/>
  <c r="A152" i="7"/>
  <c r="B152" i="7"/>
  <c r="C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T152" i="7"/>
  <c r="U152" i="7"/>
  <c r="V152" i="7"/>
  <c r="W152" i="7"/>
  <c r="X152" i="7"/>
  <c r="Y152" i="7"/>
  <c r="Z152" i="7"/>
  <c r="AA152" i="7"/>
  <c r="AB152" i="7"/>
  <c r="A153" i="7"/>
  <c r="B153" i="7"/>
  <c r="C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T153" i="7"/>
  <c r="U153" i="7"/>
  <c r="V153" i="7"/>
  <c r="W153" i="7"/>
  <c r="X153" i="7"/>
  <c r="Y153" i="7"/>
  <c r="Z153" i="7"/>
  <c r="AA153" i="7"/>
  <c r="AB153" i="7"/>
  <c r="A154" i="7"/>
  <c r="B154" i="7"/>
  <c r="C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T154" i="7"/>
  <c r="U154" i="7"/>
  <c r="V154" i="7"/>
  <c r="W154" i="7"/>
  <c r="X154" i="7"/>
  <c r="Y154" i="7"/>
  <c r="Z154" i="7"/>
  <c r="AA154" i="7"/>
  <c r="AB154" i="7"/>
  <c r="A155" i="7"/>
  <c r="B155" i="7"/>
  <c r="C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T155" i="7"/>
  <c r="U155" i="7"/>
  <c r="V155" i="7"/>
  <c r="W155" i="7"/>
  <c r="X155" i="7"/>
  <c r="Y155" i="7"/>
  <c r="Z155" i="7"/>
  <c r="AA155" i="7"/>
  <c r="AB155" i="7"/>
  <c r="A156" i="7"/>
  <c r="B156" i="7"/>
  <c r="C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T156" i="7"/>
  <c r="U156" i="7"/>
  <c r="V156" i="7"/>
  <c r="W156" i="7"/>
  <c r="X156" i="7"/>
  <c r="Y156" i="7"/>
  <c r="Z156" i="7"/>
  <c r="AA156" i="7"/>
  <c r="AB156" i="7"/>
  <c r="A157" i="7"/>
  <c r="B157" i="7"/>
  <c r="C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T157" i="7"/>
  <c r="U157" i="7"/>
  <c r="V157" i="7"/>
  <c r="W157" i="7"/>
  <c r="X157" i="7"/>
  <c r="Y157" i="7"/>
  <c r="Z157" i="7"/>
  <c r="AA157" i="7"/>
  <c r="AB157" i="7"/>
  <c r="A158" i="7"/>
  <c r="B158" i="7"/>
  <c r="C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T158" i="7"/>
  <c r="U158" i="7"/>
  <c r="V158" i="7"/>
  <c r="W158" i="7"/>
  <c r="X158" i="7"/>
  <c r="Y158" i="7"/>
  <c r="Z158" i="7"/>
  <c r="AA158" i="7"/>
  <c r="AB158" i="7"/>
  <c r="A159" i="7"/>
  <c r="B159" i="7"/>
  <c r="C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T159" i="7"/>
  <c r="U159" i="7"/>
  <c r="V159" i="7"/>
  <c r="W159" i="7"/>
  <c r="X159" i="7"/>
  <c r="Y159" i="7"/>
  <c r="Z159" i="7"/>
  <c r="AA159" i="7"/>
  <c r="AB159" i="7"/>
  <c r="A160" i="7"/>
  <c r="B160" i="7"/>
  <c r="C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T160" i="7"/>
  <c r="U160" i="7"/>
  <c r="V160" i="7"/>
  <c r="W160" i="7"/>
  <c r="X160" i="7"/>
  <c r="Y160" i="7"/>
  <c r="Z160" i="7"/>
  <c r="AA160" i="7"/>
  <c r="AB160" i="7"/>
  <c r="A161" i="7"/>
  <c r="B161" i="7"/>
  <c r="C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T161" i="7"/>
  <c r="U161" i="7"/>
  <c r="V161" i="7"/>
  <c r="W161" i="7"/>
  <c r="X161" i="7"/>
  <c r="Y161" i="7"/>
  <c r="Z161" i="7"/>
  <c r="AA161" i="7"/>
  <c r="AB161" i="7"/>
  <c r="A162" i="7"/>
  <c r="B162" i="7"/>
  <c r="C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T162" i="7"/>
  <c r="U162" i="7"/>
  <c r="V162" i="7"/>
  <c r="W162" i="7"/>
  <c r="X162" i="7"/>
  <c r="Y162" i="7"/>
  <c r="Z162" i="7"/>
  <c r="AA162" i="7"/>
  <c r="AB162" i="7"/>
  <c r="A163" i="7"/>
  <c r="B163" i="7"/>
  <c r="C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T163" i="7"/>
  <c r="U163" i="7"/>
  <c r="V163" i="7"/>
  <c r="W163" i="7"/>
  <c r="X163" i="7"/>
  <c r="Y163" i="7"/>
  <c r="Z163" i="7"/>
  <c r="AA163" i="7"/>
  <c r="AB163" i="7"/>
  <c r="A164" i="7"/>
  <c r="B164" i="7"/>
  <c r="C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T164" i="7"/>
  <c r="U164" i="7"/>
  <c r="V164" i="7"/>
  <c r="W164" i="7"/>
  <c r="X164" i="7"/>
  <c r="Y164" i="7"/>
  <c r="Z164" i="7"/>
  <c r="AA164" i="7"/>
  <c r="AB164" i="7"/>
  <c r="A165" i="7"/>
  <c r="B165" i="7"/>
  <c r="C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T165" i="7"/>
  <c r="U165" i="7"/>
  <c r="V165" i="7"/>
  <c r="W165" i="7"/>
  <c r="X165" i="7"/>
  <c r="Y165" i="7"/>
  <c r="Z165" i="7"/>
  <c r="AA165" i="7"/>
  <c r="AB165" i="7"/>
  <c r="A166" i="7"/>
  <c r="B166" i="7"/>
  <c r="C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T166" i="7"/>
  <c r="U166" i="7"/>
  <c r="V166" i="7"/>
  <c r="W166" i="7"/>
  <c r="X166" i="7"/>
  <c r="Y166" i="7"/>
  <c r="Z166" i="7"/>
  <c r="AA166" i="7"/>
  <c r="AB166" i="7"/>
  <c r="A167" i="7"/>
  <c r="B167" i="7"/>
  <c r="C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T167" i="7"/>
  <c r="U167" i="7"/>
  <c r="V167" i="7"/>
  <c r="W167" i="7"/>
  <c r="X167" i="7"/>
  <c r="Y167" i="7"/>
  <c r="Z167" i="7"/>
  <c r="AA167" i="7"/>
  <c r="AB167" i="7"/>
  <c r="A168" i="7"/>
  <c r="B168" i="7"/>
  <c r="C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T168" i="7"/>
  <c r="U168" i="7"/>
  <c r="V168" i="7"/>
  <c r="W168" i="7"/>
  <c r="X168" i="7"/>
  <c r="Y168" i="7"/>
  <c r="Z168" i="7"/>
  <c r="AA168" i="7"/>
  <c r="AB168" i="7"/>
  <c r="A169" i="7"/>
  <c r="B169" i="7"/>
  <c r="C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T169" i="7"/>
  <c r="U169" i="7"/>
  <c r="V169" i="7"/>
  <c r="W169" i="7"/>
  <c r="X169" i="7"/>
  <c r="Y169" i="7"/>
  <c r="Z169" i="7"/>
  <c r="AA169" i="7"/>
  <c r="AB169" i="7"/>
  <c r="A170" i="7"/>
  <c r="B170" i="7"/>
  <c r="C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T170" i="7"/>
  <c r="U170" i="7"/>
  <c r="V170" i="7"/>
  <c r="W170" i="7"/>
  <c r="X170" i="7"/>
  <c r="Y170" i="7"/>
  <c r="Z170" i="7"/>
  <c r="AA170" i="7"/>
  <c r="AB170" i="7"/>
  <c r="AA2" i="7"/>
  <c r="Z2" i="7"/>
  <c r="Y2" i="7"/>
  <c r="AB2" i="7"/>
  <c r="T2" i="7"/>
  <c r="U2" i="7"/>
  <c r="V2" i="7"/>
  <c r="W2" i="7"/>
  <c r="X2" i="7"/>
  <c r="N2" i="7"/>
  <c r="O2" i="7"/>
  <c r="P2" i="7"/>
  <c r="Q2" i="7"/>
  <c r="L2" i="7"/>
  <c r="I2" i="7"/>
  <c r="H2" i="7"/>
  <c r="F2" i="7"/>
  <c r="G2" i="7"/>
  <c r="E2" i="7"/>
  <c r="J4" i="7" l="1"/>
  <c r="K4" i="7"/>
  <c r="J5" i="7"/>
  <c r="K5" i="7"/>
  <c r="J6" i="7"/>
  <c r="K6" i="7"/>
  <c r="J7" i="7"/>
  <c r="K7" i="7"/>
  <c r="J8" i="7"/>
  <c r="K8" i="7"/>
  <c r="J9" i="7"/>
  <c r="K9" i="7"/>
  <c r="J10" i="7"/>
  <c r="K10" i="7"/>
  <c r="J11" i="7"/>
  <c r="K11" i="7"/>
  <c r="J12" i="7"/>
  <c r="K12" i="7"/>
  <c r="J13" i="7"/>
  <c r="K13" i="7"/>
  <c r="J14" i="7"/>
  <c r="K14" i="7"/>
  <c r="J15" i="7"/>
  <c r="K15" i="7"/>
  <c r="J16" i="7"/>
  <c r="K16" i="7"/>
  <c r="J17" i="7"/>
  <c r="K17" i="7"/>
  <c r="J18" i="7"/>
  <c r="K18" i="7"/>
  <c r="J19" i="7"/>
  <c r="K19" i="7"/>
  <c r="J20" i="7"/>
  <c r="K20" i="7"/>
  <c r="J21" i="7"/>
  <c r="K21" i="7"/>
  <c r="J22" i="7"/>
  <c r="K22" i="7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J32" i="7"/>
  <c r="K32" i="7"/>
  <c r="J33" i="7"/>
  <c r="K33" i="7"/>
  <c r="J34" i="7"/>
  <c r="K34" i="7"/>
  <c r="J35" i="7"/>
  <c r="K35" i="7"/>
  <c r="J36" i="7"/>
  <c r="K36" i="7"/>
  <c r="J37" i="7"/>
  <c r="K37" i="7"/>
  <c r="J38" i="7"/>
  <c r="K38" i="7"/>
  <c r="J39" i="7"/>
  <c r="K39" i="7"/>
  <c r="J40" i="7"/>
  <c r="K40" i="7"/>
  <c r="J41" i="7"/>
  <c r="K41" i="7"/>
  <c r="J42" i="7"/>
  <c r="K42" i="7"/>
  <c r="J43" i="7"/>
  <c r="K43" i="7"/>
  <c r="J44" i="7"/>
  <c r="K44" i="7"/>
  <c r="J45" i="7"/>
  <c r="K45" i="7"/>
  <c r="J46" i="7"/>
  <c r="K46" i="7"/>
  <c r="J47" i="7"/>
  <c r="K47" i="7"/>
  <c r="J48" i="7"/>
  <c r="K48" i="7"/>
  <c r="J49" i="7"/>
  <c r="K49" i="7"/>
  <c r="J50" i="7"/>
  <c r="K50" i="7"/>
  <c r="J51" i="7"/>
  <c r="K51" i="7"/>
  <c r="J52" i="7"/>
  <c r="K52" i="7"/>
  <c r="J53" i="7"/>
  <c r="K53" i="7"/>
  <c r="J54" i="7"/>
  <c r="K54" i="7"/>
  <c r="J55" i="7"/>
  <c r="K55" i="7"/>
  <c r="J56" i="7"/>
  <c r="K56" i="7"/>
  <c r="J57" i="7"/>
  <c r="K57" i="7"/>
  <c r="J58" i="7"/>
  <c r="K58" i="7"/>
  <c r="J59" i="7"/>
  <c r="K59" i="7"/>
  <c r="J60" i="7"/>
  <c r="K60" i="7"/>
  <c r="J61" i="7"/>
  <c r="K61" i="7"/>
  <c r="J62" i="7"/>
  <c r="K62" i="7"/>
  <c r="J63" i="7"/>
  <c r="K63" i="7"/>
  <c r="J64" i="7"/>
  <c r="K64" i="7"/>
  <c r="J65" i="7"/>
  <c r="K65" i="7"/>
  <c r="J66" i="7"/>
  <c r="K66" i="7"/>
  <c r="J67" i="7"/>
  <c r="K67" i="7"/>
  <c r="J68" i="7"/>
  <c r="K68" i="7"/>
  <c r="J69" i="7"/>
  <c r="K69" i="7"/>
  <c r="J70" i="7"/>
  <c r="K70" i="7"/>
  <c r="J71" i="7"/>
  <c r="K71" i="7"/>
  <c r="J72" i="7"/>
  <c r="K72" i="7"/>
  <c r="J73" i="7"/>
  <c r="K73" i="7"/>
  <c r="J74" i="7"/>
  <c r="K74" i="7"/>
  <c r="J75" i="7"/>
  <c r="K75" i="7"/>
  <c r="J76" i="7"/>
  <c r="K76" i="7"/>
  <c r="J77" i="7"/>
  <c r="K77" i="7"/>
  <c r="J78" i="7"/>
  <c r="K78" i="7"/>
  <c r="J79" i="7"/>
  <c r="K79" i="7"/>
  <c r="J80" i="7"/>
  <c r="K80" i="7"/>
  <c r="J81" i="7"/>
  <c r="K81" i="7"/>
  <c r="J82" i="7"/>
  <c r="K82" i="7"/>
  <c r="J83" i="7"/>
  <c r="K83" i="7"/>
  <c r="J84" i="7"/>
  <c r="K84" i="7"/>
  <c r="J85" i="7"/>
  <c r="K85" i="7"/>
  <c r="J86" i="7"/>
  <c r="K86" i="7"/>
  <c r="J87" i="7"/>
  <c r="K87" i="7"/>
  <c r="J88" i="7"/>
  <c r="K88" i="7"/>
  <c r="J89" i="7"/>
  <c r="K89" i="7"/>
  <c r="J90" i="7"/>
  <c r="K90" i="7"/>
  <c r="J91" i="7"/>
  <c r="K91" i="7"/>
  <c r="J92" i="7"/>
  <c r="K92" i="7"/>
  <c r="J93" i="7"/>
  <c r="K93" i="7"/>
  <c r="J94" i="7"/>
  <c r="K94" i="7"/>
  <c r="J95" i="7"/>
  <c r="K95" i="7"/>
  <c r="J96" i="7"/>
  <c r="K96" i="7"/>
  <c r="J97" i="7"/>
  <c r="K97" i="7"/>
  <c r="J98" i="7"/>
  <c r="K98" i="7"/>
  <c r="J99" i="7"/>
  <c r="K99" i="7"/>
  <c r="J100" i="7"/>
  <c r="K100" i="7"/>
  <c r="J101" i="7"/>
  <c r="K101" i="7"/>
  <c r="J102" i="7"/>
  <c r="K102" i="7"/>
  <c r="J103" i="7"/>
  <c r="K103" i="7"/>
  <c r="J104" i="7"/>
  <c r="K104" i="7"/>
  <c r="J105" i="7"/>
  <c r="K105" i="7"/>
  <c r="J106" i="7"/>
  <c r="K106" i="7"/>
  <c r="J107" i="7"/>
  <c r="K107" i="7"/>
  <c r="J108" i="7"/>
  <c r="K108" i="7"/>
  <c r="J109" i="7"/>
  <c r="K109" i="7"/>
  <c r="J110" i="7"/>
  <c r="K110" i="7"/>
  <c r="J111" i="7"/>
  <c r="K111" i="7"/>
  <c r="J112" i="7"/>
  <c r="K112" i="7"/>
  <c r="J113" i="7"/>
  <c r="K113" i="7"/>
  <c r="J114" i="7"/>
  <c r="K114" i="7"/>
  <c r="J115" i="7"/>
  <c r="K115" i="7"/>
  <c r="J116" i="7"/>
  <c r="K116" i="7"/>
  <c r="J117" i="7"/>
  <c r="K117" i="7"/>
  <c r="J118" i="7"/>
  <c r="K118" i="7"/>
  <c r="J119" i="7"/>
  <c r="K119" i="7"/>
  <c r="J120" i="7"/>
  <c r="K120" i="7"/>
  <c r="J121" i="7"/>
  <c r="K121" i="7"/>
  <c r="J122" i="7"/>
  <c r="K122" i="7"/>
  <c r="J123" i="7"/>
  <c r="K123" i="7"/>
  <c r="K2" i="7"/>
  <c r="J2" i="7"/>
  <c r="K3" i="7" l="1"/>
  <c r="J3" i="7"/>
  <c r="A2" i="7"/>
  <c r="B2" i="7"/>
  <c r="C2" i="7"/>
</calcChain>
</file>

<file path=xl/sharedStrings.xml><?xml version="1.0" encoding="utf-8"?>
<sst xmlns="http://schemas.openxmlformats.org/spreadsheetml/2006/main" count="1289" uniqueCount="1230">
  <si>
    <t>id</t>
  </si>
  <si>
    <t>date_debut</t>
  </si>
  <si>
    <t>obs2</t>
  </si>
  <si>
    <t>obs3</t>
  </si>
  <si>
    <t>obs4</t>
  </si>
  <si>
    <t>code_taxon</t>
  </si>
  <si>
    <t>statuValid</t>
  </si>
  <si>
    <t>validateur</t>
  </si>
  <si>
    <t>dateValid</t>
  </si>
  <si>
    <t>commentVal</t>
  </si>
  <si>
    <t>id_role</t>
  </si>
  <si>
    <t>nom_role</t>
  </si>
  <si>
    <t>prenom_role</t>
  </si>
  <si>
    <t>ROBIN</t>
  </si>
  <si>
    <t>Frédéric</t>
  </si>
  <si>
    <t>LPO</t>
  </si>
  <si>
    <t>Maxime</t>
  </si>
  <si>
    <t>TOMA</t>
  </si>
  <si>
    <t>Oui</t>
  </si>
  <si>
    <t>Non renseigné</t>
  </si>
  <si>
    <t>En attente de validation</t>
  </si>
  <si>
    <t>Non</t>
  </si>
  <si>
    <t>Inconnu</t>
  </si>
  <si>
    <t>Non réalisable</t>
  </si>
  <si>
    <t>Invalide</t>
  </si>
  <si>
    <t>Douteux</t>
  </si>
  <si>
    <t>Probable</t>
  </si>
  <si>
    <t>Certain - très probable</t>
  </si>
  <si>
    <t>observateu</t>
  </si>
  <si>
    <t>TOMA Maxime</t>
  </si>
  <si>
    <t>ROBIN Frédéric</t>
  </si>
  <si>
    <t>site</t>
  </si>
  <si>
    <t>site_nom</t>
  </si>
  <si>
    <t>nom_prenom_role</t>
  </si>
  <si>
    <t>nom_taxon</t>
  </si>
  <si>
    <t>Nom scientifique</t>
  </si>
  <si>
    <t>Nom vernaculaire</t>
  </si>
  <si>
    <t>Code MNHN</t>
  </si>
  <si>
    <t>Pénélope à gorge bleue, Pénélope siffleuse</t>
  </si>
  <si>
    <t>Acanthis flammea cabaret (Muller, 1776)</t>
  </si>
  <si>
    <t>Sizerin cabaret</t>
  </si>
  <si>
    <t>Accipiter gentilis (Linnaeus, 1758)</t>
  </si>
  <si>
    <t>Autour des palombes</t>
  </si>
  <si>
    <t>Accipiter nisus (Linnaeus, 1758)</t>
  </si>
  <si>
    <t>Épervier d'Europe</t>
  </si>
  <si>
    <t>Acrocephalus agricola (Jerdon, 1845)</t>
  </si>
  <si>
    <t>Rousserolle isabelle</t>
  </si>
  <si>
    <t>Acrocephalus arundinaceus (Linnaeus, 1758)</t>
  </si>
  <si>
    <t>Rousserolle turdoïde</t>
  </si>
  <si>
    <t>Acrocephalus dumetorum Blyth, 1849</t>
  </si>
  <si>
    <t>Rousserolle des buissons</t>
  </si>
  <si>
    <t>Acrocephalus J. A. Naumann &amp; J. F. Naumann, 1811</t>
  </si>
  <si>
    <t>Acrocephalus melanopogon (Temminck, 1823)</t>
  </si>
  <si>
    <t>Lusciniole à moustaches</t>
  </si>
  <si>
    <t>Acrocephalus paludicola (Vieillot, 1817)</t>
  </si>
  <si>
    <t>Phragmite aquatique</t>
  </si>
  <si>
    <t>Acrocephalus palustris (Bechstein, 1798)</t>
  </si>
  <si>
    <t>Rousserolle verderolle</t>
  </si>
  <si>
    <t>Acrocephalus schoenobaenus (Linnaeus, 1758)</t>
  </si>
  <si>
    <t>Phragmite des joncs</t>
  </si>
  <si>
    <t>Acrocephalus scirpaceus (Hermann, 1804)</t>
  </si>
  <si>
    <t>Rousserolle effarvatte</t>
  </si>
  <si>
    <t>Actitis hypoleucos (Linnaeus, 1758)</t>
  </si>
  <si>
    <t>Chevalier guignette</t>
  </si>
  <si>
    <t>Aegithalos caudatus (Linnaeus, 1758)</t>
  </si>
  <si>
    <t>Mésange à longue queue, Orite à longue queue</t>
  </si>
  <si>
    <t>Aix galericulata (Linnaeus, 1758)</t>
  </si>
  <si>
    <t>Canard mandarin</t>
  </si>
  <si>
    <t>Aix sponsa (Linnaeus, 1758)</t>
  </si>
  <si>
    <t>Canard carolin, Canard branchu</t>
  </si>
  <si>
    <t>Alauda arvensis Linnaeus, 1758</t>
  </si>
  <si>
    <t>Alouette des champs</t>
  </si>
  <si>
    <t>Alca torda Linnaeus, 1758</t>
  </si>
  <si>
    <t>Petit pingouin, Pingouin torda</t>
  </si>
  <si>
    <t>Alcedo atthis (Linnaeus, 1758)</t>
  </si>
  <si>
    <t>Martin-pêcheur d'Europe</t>
  </si>
  <si>
    <t>Alcidae Leach, 1820</t>
  </si>
  <si>
    <t>Macareux, Guillemots, Pingouins</t>
  </si>
  <si>
    <t>Alectoris rufa (Linnaeus, 1758)</t>
  </si>
  <si>
    <t>Perdrix rouge</t>
  </si>
  <si>
    <t>Alle alle (Linnaeus, 1758)</t>
  </si>
  <si>
    <t>Mergule nain</t>
  </si>
  <si>
    <t>Alopochen aegyptiaca (Linnaeus, 1766)</t>
  </si>
  <si>
    <t>Ouette d'Égypte, Oie d'Égypte</t>
  </si>
  <si>
    <t>Anas acuta Linnaeus, 1758</t>
  </si>
  <si>
    <t>Canard pilet</t>
  </si>
  <si>
    <t>Anas bahamensis Linnaeus, 1758</t>
  </si>
  <si>
    <t>Canard des Bahamas, Pilet des Bahamas</t>
  </si>
  <si>
    <t>Oie des neiges</t>
  </si>
  <si>
    <t>Canard souchet</t>
  </si>
  <si>
    <t>Anas crecca carolinensis Gmelin, 1789</t>
  </si>
  <si>
    <t>Sarcelle à ailes vertes, Sarcelle de la Caroline</t>
  </si>
  <si>
    <t>Anas crecca crecca Linnaeus, 1758</t>
  </si>
  <si>
    <t>Sarcelle d'hiver</t>
  </si>
  <si>
    <t>Anas crecca Linnaeus, 1758</t>
  </si>
  <si>
    <t>Sarcelle cannelle</t>
  </si>
  <si>
    <t>Sarcelle à ailes bleues</t>
  </si>
  <si>
    <t>Anas Linnaeus, 1758</t>
  </si>
  <si>
    <t>Canard siffleur</t>
  </si>
  <si>
    <t>Anas platyrhynchos Linnaeus, 1758</t>
  </si>
  <si>
    <t>Canard colvert</t>
  </si>
  <si>
    <t>Canard bridé, Souchet australien</t>
  </si>
  <si>
    <t>Canard chipeau</t>
  </si>
  <si>
    <t>Anatidae Leach, 1820</t>
  </si>
  <si>
    <t>Anser albifrons (Scopoli, 1769)</t>
  </si>
  <si>
    <t>Oie rieuse</t>
  </si>
  <si>
    <t>Anser anser (Linnaeus, 1758)</t>
  </si>
  <si>
    <t>Oie cendrée</t>
  </si>
  <si>
    <t>Anser anser rubrirostris Swinhoe, 1871</t>
  </si>
  <si>
    <t>Anser brachyrhynchus (Baillon, 1833)</t>
  </si>
  <si>
    <t>Oie à bec court</t>
  </si>
  <si>
    <t>Anser Brisson, 1760</t>
  </si>
  <si>
    <t>Anser erythropus (Linnaeus, 1758)</t>
  </si>
  <si>
    <t>Oie naine</t>
  </si>
  <si>
    <t>Anser fabalis fabalis (Latham, 1787)</t>
  </si>
  <si>
    <t>Anser fabalis (Latham, 1787)</t>
  </si>
  <si>
    <t>Oie des moissons</t>
  </si>
  <si>
    <t>Anser fabalis rossicus Buturlin, 1933</t>
  </si>
  <si>
    <t>Anser indicus (Latham, 1790)</t>
  </si>
  <si>
    <t>Oie à tête barrée</t>
  </si>
  <si>
    <t>Anthropoides virgo (Linnaeus, 1758)</t>
  </si>
  <si>
    <t>Grue demoiselle</t>
  </si>
  <si>
    <t>Anthus Bechstein, 1805</t>
  </si>
  <si>
    <t>Anthus campestris (Linnaeus, 1758)</t>
  </si>
  <si>
    <t>Pipit rousseline</t>
  </si>
  <si>
    <t>Anthus cervinus (Pallas, 1811)</t>
  </si>
  <si>
    <t>Pipit à gorge rousse</t>
  </si>
  <si>
    <t>Anthus petrosus (Montagu, 1798)</t>
  </si>
  <si>
    <t>Pipit maritime</t>
  </si>
  <si>
    <t>Anthus pratensis (Linnaeus, 1758)</t>
  </si>
  <si>
    <t>Pipit farlouse</t>
  </si>
  <si>
    <t>Anthus richardi Vieillot, 1818</t>
  </si>
  <si>
    <t>Pipit de Richard</t>
  </si>
  <si>
    <t>Anthus spinoletta (Linnaeus, 1758)</t>
  </si>
  <si>
    <t>Pipit spioncelle</t>
  </si>
  <si>
    <t>Anthus trivialis (Linnaeus, 1758)</t>
  </si>
  <si>
    <t>Pipit des arbres</t>
  </si>
  <si>
    <t>Martinets, Colibris</t>
  </si>
  <si>
    <t>Apus apus (Linnaeus, 1758)</t>
  </si>
  <si>
    <t>Martinet noir</t>
  </si>
  <si>
    <t>Apus pallidus (Shelley, 1870)</t>
  </si>
  <si>
    <t>Martinet pâle</t>
  </si>
  <si>
    <t>Aquila chrysaetos (Linnaeus, 1758)</t>
  </si>
  <si>
    <t>Aigle royal</t>
  </si>
  <si>
    <t>Aigle criard</t>
  </si>
  <si>
    <t>Aquila fasciata Vieillot, 1822</t>
  </si>
  <si>
    <t>Aigle de Bonelli</t>
  </si>
  <si>
    <t>Aigle pomarin</t>
  </si>
  <si>
    <t>Ardea alba alba Linnaeus, 1758</t>
  </si>
  <si>
    <t>Ardea alba Linnaeus, 1758</t>
  </si>
  <si>
    <t>Grande Aigrette</t>
  </si>
  <si>
    <t>Ardea alba melanorhynchos Wagler, 1827</t>
  </si>
  <si>
    <t>Ardea cinerea Linnaeus, 1758</t>
  </si>
  <si>
    <t>Héron cendré</t>
  </si>
  <si>
    <t>Cigogne noire</t>
  </si>
  <si>
    <t>Ardea purpurea Linnaeus, 1766</t>
  </si>
  <si>
    <t>Héron pourpré</t>
  </si>
  <si>
    <t>Ardenna gravis (O'Reilly, 1818)</t>
  </si>
  <si>
    <t>Puffin majeur</t>
  </si>
  <si>
    <t>Ardenna grisea (Gmelin, 1789)</t>
  </si>
  <si>
    <t>Puffin fuligineux</t>
  </si>
  <si>
    <t>Ardeola ralloides (Scopoli, 1769)</t>
  </si>
  <si>
    <t>Héron crabier, Crabier chevelu</t>
  </si>
  <si>
    <t>Arenaria Brisson, 1760</t>
  </si>
  <si>
    <t>Arenaria interpres (Linnaeus, 1758)</t>
  </si>
  <si>
    <t>Asio flammeus (Pontoppidan, 1763)</t>
  </si>
  <si>
    <t>Hibou des marais</t>
  </si>
  <si>
    <t>Asio otus (Linnaeus, 1758)</t>
  </si>
  <si>
    <t>Hibou moyen-duc</t>
  </si>
  <si>
    <t>Athene noctua (Scopoli, 1769)</t>
  </si>
  <si>
    <t>Chouette chevêche, Chevêche d'Athéna</t>
  </si>
  <si>
    <t>Aves Linnaeus, 1758</t>
  </si>
  <si>
    <t>Oiseaux</t>
  </si>
  <si>
    <t>Aythya affinis (Eyton, 1838)</t>
  </si>
  <si>
    <t>Aythya collaris (Donovan, 1809)</t>
  </si>
  <si>
    <t>Aythya ferina (Linnaeus, 1758)</t>
  </si>
  <si>
    <t>Fuligule milouin</t>
  </si>
  <si>
    <t>Aythya fuligula (Linnaeus, 1758)</t>
  </si>
  <si>
    <t>Fuligule morillon</t>
  </si>
  <si>
    <t>Aythya marila (Linnaeus, 1760)</t>
  </si>
  <si>
    <t>Fuligule milouinan</t>
  </si>
  <si>
    <t>Aythya nyroca (Güldenstädt, 1770)</t>
  </si>
  <si>
    <t>Fuligule nyroca</t>
  </si>
  <si>
    <t>Bombycilla garrulus (Linnaeus, 1758)</t>
  </si>
  <si>
    <t>Jaseur boréal, Jaseur de Bohème</t>
  </si>
  <si>
    <t>Botaurus stellaris (Linnaeus, 1758)</t>
  </si>
  <si>
    <t>Butor étoilé</t>
  </si>
  <si>
    <t>Branta bernicla (Linnaeus, 1758)</t>
  </si>
  <si>
    <t>Bernache cravant</t>
  </si>
  <si>
    <t>Branta canadensis (Linnaeus, 1758)</t>
  </si>
  <si>
    <t>Bernache du Canada</t>
  </si>
  <si>
    <t>Branta leucopsis (Bechstein, 1803)</t>
  </si>
  <si>
    <t>Bernache nonnette</t>
  </si>
  <si>
    <t>Bernache du Pacifique</t>
  </si>
  <si>
    <t>Branta ruficollis (Pallas, 1769)</t>
  </si>
  <si>
    <t>Bernache à cou roux</t>
  </si>
  <si>
    <t>Bubulcus ibis ibis (Linnaeus, 1758)</t>
  </si>
  <si>
    <t>Héron garde-bœufs</t>
  </si>
  <si>
    <t>Bubulcus ibis (Linnaeus, 1758)</t>
  </si>
  <si>
    <t>Bucanetes githagineus (Lichtenstein, 1823)</t>
  </si>
  <si>
    <t>Roselin githagine, Bouvreuil githagine</t>
  </si>
  <si>
    <t>Bucephala albeola (Linnaeus, 1758)</t>
  </si>
  <si>
    <t>Garrot albéole</t>
  </si>
  <si>
    <t>Bucephala Baird, 1858</t>
  </si>
  <si>
    <t>Bucephala clangula (Linnaeus, 1758)</t>
  </si>
  <si>
    <t>Garrot à oeil d'or</t>
  </si>
  <si>
    <t>Burhinus oedicnemus (Linnaeus, 1758)</t>
  </si>
  <si>
    <t>Oedicnème criard</t>
  </si>
  <si>
    <t>Buteo buteo (Linnaeus, 1758)</t>
  </si>
  <si>
    <t>Buse variable</t>
  </si>
  <si>
    <t>Buteo buteo vulpinus Gloger, 1833</t>
  </si>
  <si>
    <t>Buteo lagopus (Pontoppidan, 1763)</t>
  </si>
  <si>
    <t>Buse pattue</t>
  </si>
  <si>
    <t>Calandrella brachydactyla (Leisler, 1814)</t>
  </si>
  <si>
    <t>Alouette calandrelle</t>
  </si>
  <si>
    <t>Calcarius lapponicus (Linnaeus, 1758)</t>
  </si>
  <si>
    <t>Bruant lapon</t>
  </si>
  <si>
    <t>Calidris acuminata (Horsfield, 1821)</t>
  </si>
  <si>
    <t>Bécasseau à queue pointue</t>
  </si>
  <si>
    <t>Calidris alba (Pallas, 1764)</t>
  </si>
  <si>
    <t>Bécasseau sanderling</t>
  </si>
  <si>
    <t>Calidris alpina (Linnaeus, 1758)</t>
  </si>
  <si>
    <t>Bécasseau variable</t>
  </si>
  <si>
    <t>Calidris bairdii (Coues, 1861)</t>
  </si>
  <si>
    <t>Bécasseau de Baird</t>
  </si>
  <si>
    <t>Calidris canutus canutus (Linnaeus, 1758)</t>
  </si>
  <si>
    <t>Bécasseau maubèche</t>
  </si>
  <si>
    <t>Calidris canutus islandica (Linnaeus, 1767)</t>
  </si>
  <si>
    <t>Calidris canutus (Linnaeus, 1758)</t>
  </si>
  <si>
    <t>Calidris falcinellus (Pontoppidan, 1763)</t>
  </si>
  <si>
    <t>Bécasseau falcinelle</t>
  </si>
  <si>
    <t>Calidris ferruginea (Pontoppidan, 1763)</t>
  </si>
  <si>
    <t>Bécasseau cocorli</t>
  </si>
  <si>
    <t>Calidris fuscicollis (Vieillot, 1819)</t>
  </si>
  <si>
    <t>Bécasseau de Bonaparte, Bécasseau à croupion blanc</t>
  </si>
  <si>
    <t>Calidris maritima (Brünnich, 1764)</t>
  </si>
  <si>
    <t>Bécasseau violet</t>
  </si>
  <si>
    <t>Calidris melanotos (Vieillot, 1819)</t>
  </si>
  <si>
    <t>Bécasseau tacheté, Bécasseau à poitrine cendrée</t>
  </si>
  <si>
    <t>Calidris Merrem, 1804</t>
  </si>
  <si>
    <t>Calidris minuta (Leisler, 1812)</t>
  </si>
  <si>
    <t>Bécasseau minute</t>
  </si>
  <si>
    <t>Calidris minutilla (Vieillot, 1819)</t>
  </si>
  <si>
    <t>Bécasseau minuscule</t>
  </si>
  <si>
    <t>Calidris pugnax (Linnaeus, 1758)</t>
  </si>
  <si>
    <t>Chevalier combattant, Combattant varié</t>
  </si>
  <si>
    <t>Calidris pusilla (Linnaeus, 1758)</t>
  </si>
  <si>
    <t>Bécasseau semipalmé</t>
  </si>
  <si>
    <t>Calidris subruficollis (Vieillot, 1819)</t>
  </si>
  <si>
    <t>Bécasseau rousset, Bécasseau roussâtre</t>
  </si>
  <si>
    <t>Calidris temminckii (Leisler, 1812)</t>
  </si>
  <si>
    <t>Bécasseau de Temminck</t>
  </si>
  <si>
    <t>Calonectris borealis (Cory, 1881)</t>
  </si>
  <si>
    <t>Puffin cendré</t>
  </si>
  <si>
    <t>Calonectris diomedea (Scopoli, 1769)</t>
  </si>
  <si>
    <t>Puffin de Scopoli</t>
  </si>
  <si>
    <t>Caprimulgus europaeus Linnaeus, 1758</t>
  </si>
  <si>
    <t>Engoulevent d'Europe</t>
  </si>
  <si>
    <t>Linotte mélodieuse</t>
  </si>
  <si>
    <t>Carduelis carduelis (Linnaeus, 1758)</t>
  </si>
  <si>
    <t>Chardonneret élégant</t>
  </si>
  <si>
    <t>Verdier d'Europe</t>
  </si>
  <si>
    <t>Sizerin flammé</t>
  </si>
  <si>
    <t>Tarin des aulnes</t>
  </si>
  <si>
    <t>Carpodacus erythrinus (Pallas, 1770)</t>
  </si>
  <si>
    <t>Roselin cramoisi</t>
  </si>
  <si>
    <t>Grand Labbe</t>
  </si>
  <si>
    <t>Cepphus grylle (Linnaeus, 1758)</t>
  </si>
  <si>
    <t>Guillemot à miroir</t>
  </si>
  <si>
    <t>Certhia brachydactyla C.L. Brehm, 1820</t>
  </si>
  <si>
    <t>Grimpereau des jardins</t>
  </si>
  <si>
    <t>Certhia familiaris Linnaeus, 1758</t>
  </si>
  <si>
    <t>Grimpereau des bois</t>
  </si>
  <si>
    <t>Cettia cetti (Temminck, 1820)</t>
  </si>
  <si>
    <t>Bouscarle de Cetti</t>
  </si>
  <si>
    <t>Charadriidae Leach, 1820</t>
  </si>
  <si>
    <t>Charadriiformes Huxley, 1867</t>
  </si>
  <si>
    <t>Charadrius alexandrinus Linnaeus, 1758</t>
  </si>
  <si>
    <t>Gravelot à collier interrompu, Gravelot de Kent</t>
  </si>
  <si>
    <t>Charadrius dubius Scopoli, 1786</t>
  </si>
  <si>
    <t>Petit Gravelot</t>
  </si>
  <si>
    <t>Charadrius hiaticula Linnaeus, 1758</t>
  </si>
  <si>
    <t>Grand Gravelot</t>
  </si>
  <si>
    <t>Charadrius leschenaultii Lesson, 1826</t>
  </si>
  <si>
    <t>Gravelot de Leschenault, Pluvier de Leschenault</t>
  </si>
  <si>
    <t>Charadrius Linnaeus, 1758</t>
  </si>
  <si>
    <t>Charadrius mongolus Pallas, 1776</t>
  </si>
  <si>
    <t>Gravelot mongol, Pluvier mongol, Pluvier de Mongolie</t>
  </si>
  <si>
    <t>Pluvier guignard</t>
  </si>
  <si>
    <t>Vanneau sociable</t>
  </si>
  <si>
    <t>Chlidonias hybrida (Pallas, 1811)</t>
  </si>
  <si>
    <t>Guifette moustac</t>
  </si>
  <si>
    <t>Chlidonias leucopterus (Temminck, 1815)</t>
  </si>
  <si>
    <t>Guifette leucoptère</t>
  </si>
  <si>
    <t>Chlidonias niger (Linnaeus, 1758)</t>
  </si>
  <si>
    <t>Guifette noire</t>
  </si>
  <si>
    <t>Chlidonias Rafinesque, 1822</t>
  </si>
  <si>
    <t>Chroicocephalus genei (Brême, 1839)</t>
  </si>
  <si>
    <t>Goéland railleur</t>
  </si>
  <si>
    <t>Chroicocephalus ridibundus (Linnaeus, 1766)</t>
  </si>
  <si>
    <t>Mouette rieuse</t>
  </si>
  <si>
    <t>Ciconia ciconia (Linnaeus, 1758)</t>
  </si>
  <si>
    <t>Cigogne blanche</t>
  </si>
  <si>
    <t>Circaetus gallicus (Gmelin, 1788)</t>
  </si>
  <si>
    <t>Circaète Jean-le-Blanc</t>
  </si>
  <si>
    <t>Circus aeruginosus (Linnaeus, 1758)</t>
  </si>
  <si>
    <t>Busard des roseaux</t>
  </si>
  <si>
    <t>Busard Saint-Martin</t>
  </si>
  <si>
    <t>Circus Lacépède, 1799</t>
  </si>
  <si>
    <t>Circus macrourus (S. G. Gmelin, 1771)</t>
  </si>
  <si>
    <t>Busard pâle</t>
  </si>
  <si>
    <t>Circus pygargus (Linnaeus, 1758)</t>
  </si>
  <si>
    <t>Busard cendré</t>
  </si>
  <si>
    <t>Cisticola juncidis (Rafinesque, 1810)</t>
  </si>
  <si>
    <t>Cisticole des joncs</t>
  </si>
  <si>
    <t>Clamator glandarius (Linnaeus, 1758)</t>
  </si>
  <si>
    <t>Coucou geai</t>
  </si>
  <si>
    <t>Clanga Adamowicz, 1858</t>
  </si>
  <si>
    <t>Clangula hyemalis (Linnaeus, 1758)</t>
  </si>
  <si>
    <t>Harelde de Miquelon, Harelde boréale</t>
  </si>
  <si>
    <t>Coccothraustes coccothraustes (Linnaeus, 1758)</t>
  </si>
  <si>
    <t>Grosbec casse-noyaux</t>
  </si>
  <si>
    <t>Colinus virginianus (Linnaeus, 1758)</t>
  </si>
  <si>
    <t>Colin de Virginie</t>
  </si>
  <si>
    <t>Columba livia Gmelin, 1789</t>
  </si>
  <si>
    <t>Pigeon biset</t>
  </si>
  <si>
    <t>Columba oenas Linnaeus, 1758</t>
  </si>
  <si>
    <t>Pigeon colombin</t>
  </si>
  <si>
    <t>Columba palumbus Linnaeus, 1758</t>
  </si>
  <si>
    <t>Pigeon ramier</t>
  </si>
  <si>
    <t>Coracias garrulus Linnaeus, 1758</t>
  </si>
  <si>
    <t>Rollier d'Europe</t>
  </si>
  <si>
    <t xml:space="preserve">Coraciiformes </t>
  </si>
  <si>
    <t>Guêpiers</t>
  </si>
  <si>
    <t>Corvus corax Linnaeus, 1758</t>
  </si>
  <si>
    <t>Grand corbeau</t>
  </si>
  <si>
    <t>Corvus corone cornix Linnaeus, 1758</t>
  </si>
  <si>
    <t>Corneille mantelée</t>
  </si>
  <si>
    <t>Corvus corone Linnaeus, 1758</t>
  </si>
  <si>
    <t>Corneille noire</t>
  </si>
  <si>
    <t>Corvus frugilegus Linnaeus, 1758</t>
  </si>
  <si>
    <t>Corbeau freux</t>
  </si>
  <si>
    <t>Corvus Linnaeus, 1758</t>
  </si>
  <si>
    <t>Corvus monedula Linnaeus, 1758</t>
  </si>
  <si>
    <t>Choucas des tours</t>
  </si>
  <si>
    <t>Coturnix coturnix (Linnaeus, 1758)</t>
  </si>
  <si>
    <t>Caille des blés</t>
  </si>
  <si>
    <t>Crex crex (Linnaeus, 1758)</t>
  </si>
  <si>
    <t>Râle des genêts</t>
  </si>
  <si>
    <t>Cuculus canorus Linnaeus, 1758</t>
  </si>
  <si>
    <t>Coucou gris</t>
  </si>
  <si>
    <t>Cygnus atratus (Latham, 1790)</t>
  </si>
  <si>
    <t>Cygne noir</t>
  </si>
  <si>
    <t>Cygnus columbianus bewickii (Yarrel, 1830)</t>
  </si>
  <si>
    <t>Cygne de Bewick</t>
  </si>
  <si>
    <t>Cygnus columbianus (Ord, 1815)</t>
  </si>
  <si>
    <t>Cygnus cygnus (Linnaeus, 1758)</t>
  </si>
  <si>
    <t>Cygne chanteur</t>
  </si>
  <si>
    <t>Cygnus olor (Gmelin, 1803)</t>
  </si>
  <si>
    <t>Cygne tuberculé</t>
  </si>
  <si>
    <t>Delichon urbicum (Linnaeus, 1758)</t>
  </si>
  <si>
    <t>Hirondelle de fenêtre</t>
  </si>
  <si>
    <t>Dendrocopos major (Linnaeus, 1758)</t>
  </si>
  <si>
    <t>Pic épeiche</t>
  </si>
  <si>
    <t>Dendrocopos minor (Linnaeus, 1758)</t>
  </si>
  <si>
    <t>Pic épeichette</t>
  </si>
  <si>
    <t>Dendrocygna autumnalis (Linnaeus, 1758)</t>
  </si>
  <si>
    <t>Dendrocygne à ventre noir</t>
  </si>
  <si>
    <t>Dendrocygna bicolor (Vieillot, 1816)</t>
  </si>
  <si>
    <t>Dendrocygne fauve</t>
  </si>
  <si>
    <t>Dendrocygna viduata (Linnaeus, 1766)</t>
  </si>
  <si>
    <t>Dendrocygne veuf</t>
  </si>
  <si>
    <t>Diomedeidae Gray, 1840</t>
  </si>
  <si>
    <t>Albatros</t>
  </si>
  <si>
    <t>Dryocopus martius (Linnaeus, 1758)</t>
  </si>
  <si>
    <t>Pic noir</t>
  </si>
  <si>
    <t>Egretta garzetta (Linnaeus, 1766)</t>
  </si>
  <si>
    <t>Aigrette garzette</t>
  </si>
  <si>
    <t>Egretta gularis (Bosc, 1792)</t>
  </si>
  <si>
    <t>Elanus caeruleus (Desfontaines, 1789)</t>
  </si>
  <si>
    <t>Élanion blanc</t>
  </si>
  <si>
    <t>Emberiza cia Linnaeus, 1766</t>
  </si>
  <si>
    <t>Bruant fou</t>
  </si>
  <si>
    <t>Emberiza cirlus Linnaeus, 1758</t>
  </si>
  <si>
    <t>Bruant zizi</t>
  </si>
  <si>
    <t>Emberiza citrinella Linnaeus, 1758</t>
  </si>
  <si>
    <t>Bruant jaune</t>
  </si>
  <si>
    <t>Emberiza hortulana Linnaeus, 1758</t>
  </si>
  <si>
    <t>Bruant ortolan</t>
  </si>
  <si>
    <t>Emberiza melanocephala Scopoli, 1769</t>
  </si>
  <si>
    <t>Bruant mélanocéphale</t>
  </si>
  <si>
    <t>Emberiza pusilla Pallas, 1776</t>
  </si>
  <si>
    <t>Bruant nain</t>
  </si>
  <si>
    <t>Emberiza schoeniclus (Linnaeus, 1758)</t>
  </si>
  <si>
    <t>Bruant des roseaux</t>
  </si>
  <si>
    <t>Eremophila alpestris (Linnaeus, 1758)</t>
  </si>
  <si>
    <t>Alouette haussecol</t>
  </si>
  <si>
    <t>Erithacus rubecula (Linnaeus, 1758)</t>
  </si>
  <si>
    <t>Rougegorge familier</t>
  </si>
  <si>
    <t>Falco biarmicus Temminck, 1825</t>
  </si>
  <si>
    <t>Faucon lanier</t>
  </si>
  <si>
    <t>Falco columbarius Linnaeus, 1758</t>
  </si>
  <si>
    <t>Faucon émerillon</t>
  </si>
  <si>
    <t>Falco eleonorae Géné, 1839</t>
  </si>
  <si>
    <t>Faucon d'Éléonore</t>
  </si>
  <si>
    <t>Falco Linnaeus, 1758</t>
  </si>
  <si>
    <t>Falconiformes Sharpe, 1874</t>
  </si>
  <si>
    <t>Rapaces diurnes</t>
  </si>
  <si>
    <t>Falco peregrinus nesiotes Mayr, 1941</t>
  </si>
  <si>
    <t>Faucon pèlerin</t>
  </si>
  <si>
    <t>Falco peregrinus radama Hartlaub, 1861</t>
  </si>
  <si>
    <t>Falco peregrinus Tunstall, 1771</t>
  </si>
  <si>
    <t>Falco subbuteo Linnaeus, 1758</t>
  </si>
  <si>
    <t>Faucon hobereau</t>
  </si>
  <si>
    <t>Falco tinnunculus Linnaeus, 1758</t>
  </si>
  <si>
    <t>Faucon crécerelle</t>
  </si>
  <si>
    <t>Falco vespertinus Linnaeus, 1766</t>
  </si>
  <si>
    <t>Faucon kobez</t>
  </si>
  <si>
    <t>Ficedula hypoleuca (Pallas, 1764)</t>
  </si>
  <si>
    <t>Gobemouche noir</t>
  </si>
  <si>
    <t>Ficedula parva (Bechstein, 1794)</t>
  </si>
  <si>
    <t>Gobemouche nain, Gobemouche rougeâtre</t>
  </si>
  <si>
    <t>Fratercula arctica (Linnaeus, 1758)</t>
  </si>
  <si>
    <t>Macareux moine</t>
  </si>
  <si>
    <t>Fregata Lacepède, 1799</t>
  </si>
  <si>
    <t>Fringilla coelebs Linnaeus, 1758</t>
  </si>
  <si>
    <t>Pinson des arbres</t>
  </si>
  <si>
    <t>Fringilla montifringilla Linnaeus, 1758</t>
  </si>
  <si>
    <t>Pinson du nord, Pinson des Ardennes</t>
  </si>
  <si>
    <t>Fulica atra Linnaeus, 1758</t>
  </si>
  <si>
    <t>Foulque macroule</t>
  </si>
  <si>
    <t>Fulmarus glacialis (Linnaeus, 1760)</t>
  </si>
  <si>
    <t>Pétrel fulmar, Fulmar boréal</t>
  </si>
  <si>
    <t>Galerida cristata (Linnaeus, 1758)</t>
  </si>
  <si>
    <t>Cochevis huppé</t>
  </si>
  <si>
    <t>Gallinago gallinago (Linnaeus, 1758)</t>
  </si>
  <si>
    <t>Bécassine des marais</t>
  </si>
  <si>
    <t>Gallinago media (Latham, 1787)</t>
  </si>
  <si>
    <t>Bécassine double</t>
  </si>
  <si>
    <t>Gallinula chloropus (Linnaeus, 1758)</t>
  </si>
  <si>
    <t>Poule-d'eau, Gallinule poule-d'eau</t>
  </si>
  <si>
    <t>Gallinula chloropus pyrrhorrhoa Newton, 1861</t>
  </si>
  <si>
    <t>Gallinule poule-d’eau</t>
  </si>
  <si>
    <t>Garrulus glandarius (Linnaeus, 1758)</t>
  </si>
  <si>
    <t>Geai des chênes</t>
  </si>
  <si>
    <t>Gavia adamsii (Gray, 1859)</t>
  </si>
  <si>
    <t>Plongeon à bec blanc</t>
  </si>
  <si>
    <t>Gavia arctica (Linnaeus, 1758)</t>
  </si>
  <si>
    <t>Plongeon arctique</t>
  </si>
  <si>
    <t>Gavia immer (Brünnich, 1764)</t>
  </si>
  <si>
    <t>Plongeon imbrin</t>
  </si>
  <si>
    <t>Gavia stellata (Pontoppidan, 1763)</t>
  </si>
  <si>
    <t>Plongeon catmarin</t>
  </si>
  <si>
    <t xml:space="preserve">Gaviidae </t>
  </si>
  <si>
    <t>Plongeons</t>
  </si>
  <si>
    <t>Gelochelidon nilotica (Gmelin, 1789)</t>
  </si>
  <si>
    <t>Sterne hansel</t>
  </si>
  <si>
    <t>Glareola nordmanni Fischer, 1842</t>
  </si>
  <si>
    <t>Glaréole à ailes noires</t>
  </si>
  <si>
    <t>Glareola pratincola (Linnaeus, 1766)</t>
  </si>
  <si>
    <t>Glaréole à collier</t>
  </si>
  <si>
    <t>Gracula religiosa Linnaeus, 1758</t>
  </si>
  <si>
    <t>Mainate religieux</t>
  </si>
  <si>
    <t>Grus grus (Linnaeus, 1758)</t>
  </si>
  <si>
    <t>Grue cendrée</t>
  </si>
  <si>
    <t>Gypaetus barbatus (Linnaeus, 1758)</t>
  </si>
  <si>
    <t>Gypaète barbu</t>
  </si>
  <si>
    <t>Gyps fulvus (Hablizl, 1783)</t>
  </si>
  <si>
    <t>Vautour fauve</t>
  </si>
  <si>
    <t>Haematopus ostralegus Linnaeus, 1758</t>
  </si>
  <si>
    <t>Huîtrier pie</t>
  </si>
  <si>
    <t>Haliaeetus albicilla (Linnaeus, 1758)</t>
  </si>
  <si>
    <t>Pygargue à queue blanche</t>
  </si>
  <si>
    <t>Hieraaetus pennatus (Gmelin, 1788)</t>
  </si>
  <si>
    <t>Aigle botté</t>
  </si>
  <si>
    <t>Himantopus himantopus (Linnaeus, 1758)</t>
  </si>
  <si>
    <t>Echasse blanche</t>
  </si>
  <si>
    <t>Hippolais Conrad von Baldenstein, 1827</t>
  </si>
  <si>
    <t>Hippolais icterina (Vieillot, 1817)</t>
  </si>
  <si>
    <t>Hypolaïs ictérine, Grand contrefaisant</t>
  </si>
  <si>
    <t>Hippolais polyglotta (Vieillot, 1817)</t>
  </si>
  <si>
    <t>Hypolaïs polyglotte, Petit contrefaisant</t>
  </si>
  <si>
    <t>Hirondelle rousseline</t>
  </si>
  <si>
    <t>Hirundo rustica Linnaeus, 1758</t>
  </si>
  <si>
    <t>Hirondelle rustique, Hirondelle de cheminée</t>
  </si>
  <si>
    <t>Hydrobates castro (Harcourt, 1851)</t>
  </si>
  <si>
    <t>Pétrel de Castro, Océanite de Castro</t>
  </si>
  <si>
    <t>Hydrobates pelagicus (Linnaeus, 1758)</t>
  </si>
  <si>
    <t>Pétrel tempête, Océanite tempête</t>
  </si>
  <si>
    <t>Hydrocoloeus minutus (Pallas, 1776)</t>
  </si>
  <si>
    <t>Mouette pygmée</t>
  </si>
  <si>
    <t>Ichthyaetus audouinii (Payraudeau, 1826)</t>
  </si>
  <si>
    <t>Goéland d'Audouin</t>
  </si>
  <si>
    <t>Ichthyaetus melanocephalus (Temminck, 1820)</t>
  </si>
  <si>
    <t>Mouette mélanocéphale</t>
  </si>
  <si>
    <t>Iduna caligata (Lichtenstein, 1823)</t>
  </si>
  <si>
    <t>Hypolaïs bottée, Hypolaïs russe, Hypolaïs de Russie</t>
  </si>
  <si>
    <t>Ixobrychus minutus dubius Mathews, 1912</t>
  </si>
  <si>
    <t>Blongios nain, Blongios d'Australie</t>
  </si>
  <si>
    <t>Ixobrychus minutus (Linnaeus, 1766)</t>
  </si>
  <si>
    <t>Butor blongios, Blongios nain</t>
  </si>
  <si>
    <t>Jynx torquilla Linnaeus, 1758</t>
  </si>
  <si>
    <t>Torcol fourmilier</t>
  </si>
  <si>
    <t>Lanius collurio Linnaeus, 1758</t>
  </si>
  <si>
    <t>Pie-grièche écorcheur</t>
  </si>
  <si>
    <t>Lanius excubitor Linnaeus, 1758</t>
  </si>
  <si>
    <t>Pie-grièche grise</t>
  </si>
  <si>
    <t>Lanius meridionalis Temminck, 1820</t>
  </si>
  <si>
    <t>Pie-grièche méridionale</t>
  </si>
  <si>
    <t>Lanius senator Linnaeus, 1758</t>
  </si>
  <si>
    <t>Pie-grièche à tête rousse</t>
  </si>
  <si>
    <t>Laridae Vigors, 1825</t>
  </si>
  <si>
    <t>Goélands, Mouettes</t>
  </si>
  <si>
    <t>Larus argentatus Pontoppidan, 1763</t>
  </si>
  <si>
    <t>Goéland argenté</t>
  </si>
  <si>
    <t>Mouette atricille</t>
  </si>
  <si>
    <t>Larus cachinnans Pallas, 1811</t>
  </si>
  <si>
    <t>Goéland pontique</t>
  </si>
  <si>
    <t>Larus canus Linnaeus, 1758</t>
  </si>
  <si>
    <t>Goéland cendré</t>
  </si>
  <si>
    <t>Larus delawarensis Ord, 1815</t>
  </si>
  <si>
    <t>Goéland à bec cerclé</t>
  </si>
  <si>
    <t>Larus fuscus fuscus Linnaeus, 1758</t>
  </si>
  <si>
    <t>Goéland de la Baltique</t>
  </si>
  <si>
    <t>Larus fuscus graellsii Brehm, 1857</t>
  </si>
  <si>
    <t>Goéland brun</t>
  </si>
  <si>
    <t>Larus fuscus Linnaeus, 1758</t>
  </si>
  <si>
    <t>Larus glaucoides Meyer, 1822</t>
  </si>
  <si>
    <t>Goéland à ailes blanches, Goéland arctique</t>
  </si>
  <si>
    <t>Larus hyperboreus Gunnerus, 1767</t>
  </si>
  <si>
    <t>Goéland bourgmestre</t>
  </si>
  <si>
    <t>Larus Linnaeus, 1758</t>
  </si>
  <si>
    <t>Larus marinus Linnaeus, 1758</t>
  </si>
  <si>
    <t>Goéland marin</t>
  </si>
  <si>
    <t>Larus michahellis Naumann, 1840</t>
  </si>
  <si>
    <t>Goéland leucophée</t>
  </si>
  <si>
    <t>Mouette de Bonaparte</t>
  </si>
  <si>
    <t>Leiothrix lutea (Scopoli, 1786)</t>
  </si>
  <si>
    <t>Léiothrix jaune, Rossignol du Japon</t>
  </si>
  <si>
    <t>Leucophaeus pipixcan (Wagler, 1831)</t>
  </si>
  <si>
    <t>Mouette de Franklin</t>
  </si>
  <si>
    <t>Limnodromus scolopaceus (Say, 1823)</t>
  </si>
  <si>
    <t>Limnodrome à long bec, Bécassin à long bec</t>
  </si>
  <si>
    <t>Limnodromus Wied-Neuwied, 1817</t>
  </si>
  <si>
    <t>Limosa Brisson, 1760</t>
  </si>
  <si>
    <t>Limosa lapponica baueri J.F. Naumann, 1836</t>
  </si>
  <si>
    <t>Barge rousse</t>
  </si>
  <si>
    <t>Limosa lapponica (Linnaeus, 1758)</t>
  </si>
  <si>
    <t>Limosa limosa (Linnaeus, 1758)</t>
  </si>
  <si>
    <t>Barge à queue noire</t>
  </si>
  <si>
    <t>Locustella luscinioides (Savi, 1824)</t>
  </si>
  <si>
    <t>Locustelle luscinioïde</t>
  </si>
  <si>
    <t>Locustella naevia (Boddaert, 1783)</t>
  </si>
  <si>
    <t>Locustelle tachetée</t>
  </si>
  <si>
    <t>Loxia curvirostra Linnaeus, 1758</t>
  </si>
  <si>
    <t>Bec-croisé des sapins</t>
  </si>
  <si>
    <t>Lullula arborea (Linnaeus, 1758)</t>
  </si>
  <si>
    <t>Alouette lulu</t>
  </si>
  <si>
    <t>Luscinia megarhynchos C. L. Brehm, 1831</t>
  </si>
  <si>
    <t>Rossignol philomèle</t>
  </si>
  <si>
    <t>Luscinia svecica cyanecula (Wolf, 1810)</t>
  </si>
  <si>
    <t>Luscinia svecica (Linnaeus, 1758)</t>
  </si>
  <si>
    <t>Gorgebleue à miroir</t>
  </si>
  <si>
    <t>Luscinia svecica namnetum Mayaud, 1934</t>
  </si>
  <si>
    <t>Luscinia svecica svecica (Linnaeus, 1758)</t>
  </si>
  <si>
    <t>Lymnocryptes minimus (Brünnich, 1764)</t>
  </si>
  <si>
    <t>Bécassine sourde</t>
  </si>
  <si>
    <t>Marmaronetta angustirostris (Ménétries, 1832)</t>
  </si>
  <si>
    <t>Sarcelle marbrée</t>
  </si>
  <si>
    <t>Melanitta Boie, 1822</t>
  </si>
  <si>
    <t>Melanitta fusca (Linnaeus, 1758)</t>
  </si>
  <si>
    <t>Macreuse brune</t>
  </si>
  <si>
    <t>Melanitta nigra (Linnaeus, 1758)</t>
  </si>
  <si>
    <t>Macreuse noire</t>
  </si>
  <si>
    <t>Melanocorypha calandra (Linnaeus, 1766)</t>
  </si>
  <si>
    <t>Alouette calandre</t>
  </si>
  <si>
    <t>Mergellus Selby, 1840</t>
  </si>
  <si>
    <t>Mergus merganser Linnaeus, 1758</t>
  </si>
  <si>
    <t>Harle bièvre</t>
  </si>
  <si>
    <t>Mergus serrator Linnaeus, 1758</t>
  </si>
  <si>
    <t>Harle huppé</t>
  </si>
  <si>
    <t>Merops apiaster Linnaeus, 1758</t>
  </si>
  <si>
    <t>Guêpier d'Europe</t>
  </si>
  <si>
    <t>Bruant proyer</t>
  </si>
  <si>
    <t>Milvus migrans (Boddaert, 1783)</t>
  </si>
  <si>
    <t>Milan noir</t>
  </si>
  <si>
    <t>Milvus milvus (Linnaeus, 1758)</t>
  </si>
  <si>
    <t>Milan royal</t>
  </si>
  <si>
    <t>Monticola saxatilis (Linnaeus, 1758)</t>
  </si>
  <si>
    <t>Monticole de roche, Merle de roche</t>
  </si>
  <si>
    <t>Morus bassanus (Linnaeus, 1758)</t>
  </si>
  <si>
    <t>Fou de Bassan</t>
  </si>
  <si>
    <t>Motacilla alba alba Linnaeus, 1758</t>
  </si>
  <si>
    <t>Bergeronnette grise</t>
  </si>
  <si>
    <t>Motacilla alba Linnaeus, 1758</t>
  </si>
  <si>
    <t>Motacilla alba yarrellii Gould, 1837</t>
  </si>
  <si>
    <t>Bergeronnette de Yarrell</t>
  </si>
  <si>
    <t>Motacilla cinerea Tunstall, 1771</t>
  </si>
  <si>
    <t>Bergeronnette des ruisseaux</t>
  </si>
  <si>
    <t>Motacilla citreola Pallas, 1776</t>
  </si>
  <si>
    <t>Bergeronnette citrine</t>
  </si>
  <si>
    <t>Motacilla flava flava Linnaeus, 1758</t>
  </si>
  <si>
    <t>Motacilla flava flavissima (Blyth, 1834)</t>
  </si>
  <si>
    <t>Motacilla flava iberiae Hartert, 1921</t>
  </si>
  <si>
    <t>Motacilla flava Linnaeus, 1758</t>
  </si>
  <si>
    <t>Bergeronnette printanière</t>
  </si>
  <si>
    <t>Motacilla flava thunbergi Billeberg, 1829</t>
  </si>
  <si>
    <t>Muscicapa striata (Pallas, 1764)</t>
  </si>
  <si>
    <t>Gobemouche gris</t>
  </si>
  <si>
    <t>Neophron percnopterus (Linnaeus, 1758)</t>
  </si>
  <si>
    <t>Vautour percnoptère</t>
  </si>
  <si>
    <t>Netta peposaca (Vieillot, 1816)</t>
  </si>
  <si>
    <t>Nette demi-deuil</t>
  </si>
  <si>
    <t>Netta rufina (Pallas, 1773)</t>
  </si>
  <si>
    <t>Nette rousse</t>
  </si>
  <si>
    <t>Numenius arquata (Linnaeus, 1758)</t>
  </si>
  <si>
    <t>Courlis cendré</t>
  </si>
  <si>
    <t>Numenius Brisson, 1760</t>
  </si>
  <si>
    <t>Numenius phaeopus (Linnaeus, 1758)</t>
  </si>
  <si>
    <t>Courlis corlieu</t>
  </si>
  <si>
    <t>Numenius phaeopus variegatus (Scopoli, 1786)</t>
  </si>
  <si>
    <t>Nycticorax nycticorax (Linnaeus, 1758)</t>
  </si>
  <si>
    <t>Héron bihoreau, Bihoreau gris</t>
  </si>
  <si>
    <t>Nymphicus hollandicus (Kerr, 1792)</t>
  </si>
  <si>
    <t>Calopsitte élégante</t>
  </si>
  <si>
    <t>Pétrel cul-blanc, Océanite cul-blanc</t>
  </si>
  <si>
    <t>Pétrel de Swinhoe, Océanite de Swinhoe</t>
  </si>
  <si>
    <t>Oenanthe deserti (Temminck, 1825)</t>
  </si>
  <si>
    <t>Traquet du désert</t>
  </si>
  <si>
    <t>Oenanthe hispanica (Linnaeus, 1758)</t>
  </si>
  <si>
    <t>Traquet oreillard</t>
  </si>
  <si>
    <t>Oenanthe isabellina (Temminck, 1829)</t>
  </si>
  <si>
    <t>Traquet isabelle</t>
  </si>
  <si>
    <t>Oenanthe oenanthe leucorhoa (Gmelin, 1789)</t>
  </si>
  <si>
    <t>Oenanthe oenanthe (Linnaeus, 1758)</t>
  </si>
  <si>
    <t>Traquet motteux</t>
  </si>
  <si>
    <t>Oriolus oriolus (Linnaeus, 1758)</t>
  </si>
  <si>
    <t>Loriot d'Europe, Loriot jaune</t>
  </si>
  <si>
    <t>Otis tarda Linnaeus, 1758</t>
  </si>
  <si>
    <t>Grande Outarde, Outarde barbue</t>
  </si>
  <si>
    <t>Otus scops (Linnaeus, 1758)</t>
  </si>
  <si>
    <t>Hibou petit-duc, Petit-duc scops</t>
  </si>
  <si>
    <t>Oxyura jamaicensis (Gmelin, 1789)</t>
  </si>
  <si>
    <t>Érismature rousse</t>
  </si>
  <si>
    <t>Oxyura leucocephala (Scopoli, 1769)</t>
  </si>
  <si>
    <t>Érismature à tête blanche</t>
  </si>
  <si>
    <t>Pandion haliaetus (Linnaeus, 1758)</t>
  </si>
  <si>
    <t>Balbuzard pêcheur</t>
  </si>
  <si>
    <t>Panurus biarmicus (Linnaeus, 1758)</t>
  </si>
  <si>
    <t>Panure à moustaches, Mésange à moustaches</t>
  </si>
  <si>
    <t>Paridae Vigors, 1825</t>
  </si>
  <si>
    <t>Mésanges</t>
  </si>
  <si>
    <t>Mésange bleue</t>
  </si>
  <si>
    <t>Mésange huppée</t>
  </si>
  <si>
    <t>Parus major Linnaeus, 1758</t>
  </si>
  <si>
    <t>Mésange charbonnière</t>
  </si>
  <si>
    <t>Passer domesticus (Linnaeus, 1758)</t>
  </si>
  <si>
    <t>Moineau domestique</t>
  </si>
  <si>
    <t>Passer montanus (Linnaeus, 1758)</t>
  </si>
  <si>
    <t>Moineau friquet</t>
  </si>
  <si>
    <t>Pastor roseus (Linnaeus, 1758)</t>
  </si>
  <si>
    <t>Martin roselin, Étourneau roselin</t>
  </si>
  <si>
    <t>Pelecanus onocrotalus Linnaeus, 1758</t>
  </si>
  <si>
    <t>Pélican blanc</t>
  </si>
  <si>
    <t>Perdix perdix (Linnaeus, 1758)</t>
  </si>
  <si>
    <t>Perdrix grise</t>
  </si>
  <si>
    <t>Periparus ater (Linnaeus, 1758)</t>
  </si>
  <si>
    <t>Mésange noire</t>
  </si>
  <si>
    <t>Pernis apivorus (Linnaeus, 1758)</t>
  </si>
  <si>
    <t>Bondrée apivore</t>
  </si>
  <si>
    <t>Petronia petronia (Linnaeus, 1766)</t>
  </si>
  <si>
    <t>Moineau soulcie</t>
  </si>
  <si>
    <t>Phalacrocorax aristotelis (Linnaeus, 1760)</t>
  </si>
  <si>
    <t>Cormoran huppé</t>
  </si>
  <si>
    <t>Phalacrocorax carbo carbo (Linnaeus, 1758)</t>
  </si>
  <si>
    <t>Grand Cormoran</t>
  </si>
  <si>
    <t>Phalacrocorax carbo (Linnaeus, 1758)</t>
  </si>
  <si>
    <t>Phalaropus Brisson, 1760</t>
  </si>
  <si>
    <t>Phalaropus fulicarius (Linnaeus, 1758)</t>
  </si>
  <si>
    <t>Phalarope à bec large</t>
  </si>
  <si>
    <t>Phalaropus lobatus (Linnaeus, 1758)</t>
  </si>
  <si>
    <t>Phalarope à bec étroit</t>
  </si>
  <si>
    <t>Phasianus colchicus Linnaeus, 1758</t>
  </si>
  <si>
    <t>Faisan de Colchide</t>
  </si>
  <si>
    <t>Pouillot brun</t>
  </si>
  <si>
    <t>Phoenicopterus chilensis Molina, 1782</t>
  </si>
  <si>
    <t>Flamant du Chili</t>
  </si>
  <si>
    <t>Phoenicopterus roseus Pallas, 1811</t>
  </si>
  <si>
    <t>Flamant rose</t>
  </si>
  <si>
    <t>Phoenicopterus ruber Linnaeus, 1758</t>
  </si>
  <si>
    <t>Flamant des Caraïbes</t>
  </si>
  <si>
    <t>Phoenicurus Forster, 1817</t>
  </si>
  <si>
    <t>Phoenicurus ochruros (S. G. Gmelin, 1774)</t>
  </si>
  <si>
    <t>Rougequeue noir</t>
  </si>
  <si>
    <t>Phoenicurus phoenicurus (Linnaeus, 1758)</t>
  </si>
  <si>
    <t>Rougequeue à front blanc</t>
  </si>
  <si>
    <t>Phylloscopus bonelli (Vieillot, 1819)</t>
  </si>
  <si>
    <t>Pouillot de Bonelli</t>
  </si>
  <si>
    <t>Phylloscopus collybita abietinus (Nilsson, 1919)</t>
  </si>
  <si>
    <t>Phylloscopus collybita tristis Blyth, 1843</t>
  </si>
  <si>
    <t>Pouillot de Sibérie</t>
  </si>
  <si>
    <t>Phylloscopus collybita (Vieillot, 1887)</t>
  </si>
  <si>
    <t>Pouillot véloce</t>
  </si>
  <si>
    <t>Phylloscopus ibericus Ticehurst, 1937</t>
  </si>
  <si>
    <t>Pouillot ibérique, Pouillot véloce ibérique</t>
  </si>
  <si>
    <t>Phylloscopus inornatus (Blyth, 1842)</t>
  </si>
  <si>
    <t>Pouillot à grands sourcils</t>
  </si>
  <si>
    <t>Phylloscopus proregulus (Pallas, 1811)</t>
  </si>
  <si>
    <t>Pouillot de Pallas, Pouillot roitelet</t>
  </si>
  <si>
    <t>Phylloscopus sibilatrix (Bechstein, 1793)</t>
  </si>
  <si>
    <t>Pouillot siffleur</t>
  </si>
  <si>
    <t>Phylloscopus trochilus (Linnaeus, 1758)</t>
  </si>
  <si>
    <t>Pouillot fitis</t>
  </si>
  <si>
    <t>Pica pica (Linnaeus, 1758)</t>
  </si>
  <si>
    <t>Pie bavarde</t>
  </si>
  <si>
    <t>Picus viridis Linnaeus, 1758</t>
  </si>
  <si>
    <t>Pic vert, Pivert</t>
  </si>
  <si>
    <t>Platalea leucorodia Linnaeus, 1758</t>
  </si>
  <si>
    <t>Spatule blanche</t>
  </si>
  <si>
    <t>Plectrophenax nivalis (Linnaeus, 1758)</t>
  </si>
  <si>
    <t>Bruant des neiges</t>
  </si>
  <si>
    <t>Plegadis falcinellus (Linnaeus, 1766)</t>
  </si>
  <si>
    <t>Ibis falcinelle</t>
  </si>
  <si>
    <t>Pluvialis apricaria (Linnaeus, 1758)</t>
  </si>
  <si>
    <t>Pluvier doré</t>
  </si>
  <si>
    <t>Pluvialis dominica (Statius Müller, 1776)</t>
  </si>
  <si>
    <t>Pluvialis fulva (Gmelin, 1789)</t>
  </si>
  <si>
    <t>Pluvier fauve</t>
  </si>
  <si>
    <t>Pluvialis squatarola (Linnaeus, 1758)</t>
  </si>
  <si>
    <t>Pluvier argenté</t>
  </si>
  <si>
    <t>Podiceps auritus (Linnaeus, 1758)</t>
  </si>
  <si>
    <t>Grèbe esclavon</t>
  </si>
  <si>
    <t>Podiceps cristatus (Linnaeus, 1758)</t>
  </si>
  <si>
    <t>Grèbe huppé</t>
  </si>
  <si>
    <t>Podiceps grisegena (Boddaert, 1783)</t>
  </si>
  <si>
    <t>Grèbe jougris</t>
  </si>
  <si>
    <t>Podiceps nigricollis Brehm, 1831</t>
  </si>
  <si>
    <t>Grèbe à cou noir</t>
  </si>
  <si>
    <t>Podicipedidae Bonaparte, 1831</t>
  </si>
  <si>
    <t>Grèbes</t>
  </si>
  <si>
    <t>Poecile palustris (Linnaeus, 1758)</t>
  </si>
  <si>
    <t>Mésange nonnette</t>
  </si>
  <si>
    <t>Porzana porzana (Linnaeus, 1766)</t>
  </si>
  <si>
    <t>Marouette ponctuée</t>
  </si>
  <si>
    <t>Marouette de Baillon</t>
  </si>
  <si>
    <t>Porzana Vieillot, 1816</t>
  </si>
  <si>
    <t>Prunella collaris (Scopoli, 1769)</t>
  </si>
  <si>
    <t>Accenteur alpin</t>
  </si>
  <si>
    <t>Prunella modularis (Linnaeus, 1758)</t>
  </si>
  <si>
    <t>Accenteur mouchet</t>
  </si>
  <si>
    <t>Psittacula krameri (Scopoli, 1769)</t>
  </si>
  <si>
    <t>Perruche à collier</t>
  </si>
  <si>
    <t>Puffinus Brisson, 1760</t>
  </si>
  <si>
    <t>Puffinus lherminieri baroli (Bonaparte, 1857)</t>
  </si>
  <si>
    <t>Puffin de Macaronésie, Puffin obscur</t>
  </si>
  <si>
    <t>Puffinus mauretanicus Lowe, 1921</t>
  </si>
  <si>
    <t>Puffin des Baléares</t>
  </si>
  <si>
    <t>Puffinus puffinus (Brünnich, 1764)</t>
  </si>
  <si>
    <t>Puffin des Anglais</t>
  </si>
  <si>
    <t>Puffinus yelkouan (Acerbi, 1827)</t>
  </si>
  <si>
    <t>Puffin yelkouan</t>
  </si>
  <si>
    <t>Pyrrhocorax pyrrhocorax (Linnaeus, 1758)</t>
  </si>
  <si>
    <t>Crave à bec rouge</t>
  </si>
  <si>
    <t>Pyrrhula pyrrhula (Linnaeus, 1758)</t>
  </si>
  <si>
    <t>Bouvreuil pivoine</t>
  </si>
  <si>
    <t>Rallus aquaticus Linnaeus, 1758</t>
  </si>
  <si>
    <t>Râle d'eau</t>
  </si>
  <si>
    <t>Recurvirostra avosetta Linnaeus, 1758</t>
  </si>
  <si>
    <t>Avocette élégante</t>
  </si>
  <si>
    <t>Regulus ignicapilla (Temminck, 1820)</t>
  </si>
  <si>
    <t>Roitelet à triple bandeau</t>
  </si>
  <si>
    <t>Regulus regulus (Linnaeus, 1758)</t>
  </si>
  <si>
    <t>Roitelet huppé</t>
  </si>
  <si>
    <t>Remiz pendulinus (Linnaeus, 1758)</t>
  </si>
  <si>
    <t>Rémiz penduline, Mésange rémiz</t>
  </si>
  <si>
    <t>Riparia riparia (Linnaeus, 1758)</t>
  </si>
  <si>
    <t>Hirondelle de rivage</t>
  </si>
  <si>
    <t>Rissa tridactyla (Linnaeus, 1758)</t>
  </si>
  <si>
    <t>Mouette tridactyle</t>
  </si>
  <si>
    <t>Saxicola maurus (Pallas, 1773)</t>
  </si>
  <si>
    <t>Tarier oriental</t>
  </si>
  <si>
    <t>Saxicola rubetra (Linnaeus, 1758)</t>
  </si>
  <si>
    <t>Traquet tarier, Tarier des prés</t>
  </si>
  <si>
    <t>Tarier pâtre</t>
  </si>
  <si>
    <t>Scolopacidae Rafinesque, 1815</t>
  </si>
  <si>
    <t>Bécasses</t>
  </si>
  <si>
    <t>Scolopax rusticola Linnaeus, 1758</t>
  </si>
  <si>
    <t>Bécasse des bois</t>
  </si>
  <si>
    <t>Serinus serinus (Linnaeus, 1766)</t>
  </si>
  <si>
    <t>Serin cini</t>
  </si>
  <si>
    <t>Sibirionetta formosa (Georgi, 1775)</t>
  </si>
  <si>
    <t>Sarcelle élégante</t>
  </si>
  <si>
    <t>Sitta europaea Linnaeus, 1758</t>
  </si>
  <si>
    <t>Sittelle torchepot</t>
  </si>
  <si>
    <t>Somateria mollissima (Linnaeus, 1758)</t>
  </si>
  <si>
    <t>Eider à duvet</t>
  </si>
  <si>
    <t>Steganopus tricolor Vieillot, 1819</t>
  </si>
  <si>
    <t>Phalarope de Wilson</t>
  </si>
  <si>
    <t>Stercorariidae Gray, 1870</t>
  </si>
  <si>
    <t>Labbes (Stercoraires)</t>
  </si>
  <si>
    <t>Stercorarius Brisson, 1760</t>
  </si>
  <si>
    <t>Stercorarius longicaudus Vieillot, 1819</t>
  </si>
  <si>
    <t>Labbe à longue queue</t>
  </si>
  <si>
    <t>Stercorarius parasiticus (Linnaeus, 1758)</t>
  </si>
  <si>
    <t>Labbe parasite</t>
  </si>
  <si>
    <t>Stercorarius pomarinus (Temminck, 1815)</t>
  </si>
  <si>
    <t>Labbe pomarin</t>
  </si>
  <si>
    <t>Sterne de Cabot</t>
  </si>
  <si>
    <t>Sterne caspienne</t>
  </si>
  <si>
    <t>Sterna dougallii Montagu, 1813</t>
  </si>
  <si>
    <t>Sterne de Dougall</t>
  </si>
  <si>
    <t>Sterna forsteri Nuttall, 1834</t>
  </si>
  <si>
    <t>Sterne de Forster</t>
  </si>
  <si>
    <t>Sterne fuligineuse</t>
  </si>
  <si>
    <t>Sterna hirundo Linnaeus, 1758</t>
  </si>
  <si>
    <t>Sterne pierregarin</t>
  </si>
  <si>
    <t>Sterna Linnaeus, 1758</t>
  </si>
  <si>
    <t>Sterna paradisaea Pontoppidan, 1763</t>
  </si>
  <si>
    <t>Sterne arctique</t>
  </si>
  <si>
    <t>Sternula albifrons (Pallas, 1764)</t>
  </si>
  <si>
    <t>Sterne naine</t>
  </si>
  <si>
    <t>Streptopelia decaocto (Frivaldszky, 1838)</t>
  </si>
  <si>
    <t>Tourterelle turque</t>
  </si>
  <si>
    <t>Streptopelia roseogrisea (Sundevall, 1857)</t>
  </si>
  <si>
    <t>Tourterelle rieuse</t>
  </si>
  <si>
    <t>Streptopelia turtur (Linnaeus, 1758)</t>
  </si>
  <si>
    <t>Tourterelle des bois</t>
  </si>
  <si>
    <t>Strix aluco Linnaeus, 1758</t>
  </si>
  <si>
    <t>Chouette hulotte</t>
  </si>
  <si>
    <t>Sturnus unicolor Temminck, 1820</t>
  </si>
  <si>
    <t>Étourneau unicolore</t>
  </si>
  <si>
    <t>Sturnus vulgaris Linnaeus, 1758</t>
  </si>
  <si>
    <t>Étourneau sansonnet</t>
  </si>
  <si>
    <t>Sula leucogaster (Boddaert, 1783)</t>
  </si>
  <si>
    <t>Fou brun</t>
  </si>
  <si>
    <t>Sula sula (Linnaeus, 1766)</t>
  </si>
  <si>
    <t>Fou à pieds rouges</t>
  </si>
  <si>
    <t>Sylvia atricapilla (Linnaeus, 1758)</t>
  </si>
  <si>
    <t>Fauvette à tête noire</t>
  </si>
  <si>
    <t>Sylvia borin (Boddaert, 1783)</t>
  </si>
  <si>
    <t>Fauvette des jardins</t>
  </si>
  <si>
    <t>Sylvia communis Latham, 1787</t>
  </si>
  <si>
    <t>Fauvette grisette</t>
  </si>
  <si>
    <t>Sylvia curruca (Linnaeus, 1758)</t>
  </si>
  <si>
    <t>Fauvette babillarde</t>
  </si>
  <si>
    <t>Sylvia nisoria (Bechstein, 1795)</t>
  </si>
  <si>
    <t>Fauvette épervière</t>
  </si>
  <si>
    <t>Sylvia undata (Boddaert, 1783)</t>
  </si>
  <si>
    <t>Fauvette pitchou</t>
  </si>
  <si>
    <t>Syrmaticus reevesii (J. E. Gray, 1829)</t>
  </si>
  <si>
    <t>Faisan vénéré, Faisans de Chasse</t>
  </si>
  <si>
    <t>Tachybaptus ruficollis capensis (Salvadori, 1884)</t>
  </si>
  <si>
    <t>Grèbe castagneux, Petit Grèbe</t>
  </si>
  <si>
    <t>Tachybaptus ruficollis (Pallas, 1764)</t>
  </si>
  <si>
    <t>Grèbe castagneux</t>
  </si>
  <si>
    <t>Tachymarptis melba (Linnaeus, 1758)</t>
  </si>
  <si>
    <t>Martinet à ventre blanc, Martinet alpin</t>
  </si>
  <si>
    <t>Tadorna ferruginea (Pallas, 1764)</t>
  </si>
  <si>
    <t>Tadorne casarca, Casarca roux</t>
  </si>
  <si>
    <t>Tadorna tadorna (Linnaeus, 1758)</t>
  </si>
  <si>
    <t>Tadorne de Belon</t>
  </si>
  <si>
    <t>Tetrax tetrax (Linnaeus, 1758)</t>
  </si>
  <si>
    <t>Outarde canepetière</t>
  </si>
  <si>
    <t>Thalasseus bengalensis (Lesson, 1831)</t>
  </si>
  <si>
    <t>Sterne voyageuse</t>
  </si>
  <si>
    <t>Thalasseus elegans (Gambel, 1849)</t>
  </si>
  <si>
    <t>Sterne élégante</t>
  </si>
  <si>
    <t>Thalasseus sandvicensis (Latham, 1787)</t>
  </si>
  <si>
    <t xml:space="preserve">Sterne caugek </t>
  </si>
  <si>
    <t>Threskiornis aethiopicus (Latham, 1790)</t>
  </si>
  <si>
    <t>Ibis sacré</t>
  </si>
  <si>
    <t>Tichodroma muraria (Linnaeus, 1758)</t>
  </si>
  <si>
    <t>Tichodrome échelette</t>
  </si>
  <si>
    <t>Tringa erythropus (Pallas, 1764)</t>
  </si>
  <si>
    <t>Chevalier arlequin</t>
  </si>
  <si>
    <t>Tringa flavipes (Gmelin, 1789)</t>
  </si>
  <si>
    <t>Tringa glareola Linnaeus, 1758</t>
  </si>
  <si>
    <t>Chevalier sylvain</t>
  </si>
  <si>
    <t>Tringa nebularia (Gunnerus, 1767)</t>
  </si>
  <si>
    <t>Chevalier aboyeur</t>
  </si>
  <si>
    <t>Tringa ochropus Linnaeus, 1758</t>
  </si>
  <si>
    <t>Chevalier culblanc</t>
  </si>
  <si>
    <t>Tringa semipalmata (Gmelin, 1789)</t>
  </si>
  <si>
    <t>Tringa stagnatilis (Bechstein, 1803)</t>
  </si>
  <si>
    <t>Chevalier stagnatile</t>
  </si>
  <si>
    <t>Tringa totanus (Linnaeus, 1758)</t>
  </si>
  <si>
    <t>Chevalier gambette</t>
  </si>
  <si>
    <t>Troglodytes troglodytes (Linnaeus, 1758)</t>
  </si>
  <si>
    <t>Troglodyte mignon</t>
  </si>
  <si>
    <t>Turdus iliacus Linnaeus, 1766</t>
  </si>
  <si>
    <t>Grive mauvis</t>
  </si>
  <si>
    <t>Turdus merula Linnaeus, 1758</t>
  </si>
  <si>
    <t>Merle noir</t>
  </si>
  <si>
    <t>Turdus philomelos C. L. Brehm, 1831</t>
  </si>
  <si>
    <t>Grive musicienne</t>
  </si>
  <si>
    <t>Turdus pilaris Linnaeus, 1758</t>
  </si>
  <si>
    <t>Grive litorne</t>
  </si>
  <si>
    <t>Turdus torquatus Linnaeus, 1758</t>
  </si>
  <si>
    <t>Merle à plastron</t>
  </si>
  <si>
    <t>Turdus viscivorus Linnaeus, 1758</t>
  </si>
  <si>
    <t>Grive draine</t>
  </si>
  <si>
    <t>Tyto alba affinis (Blyth, 1862)</t>
  </si>
  <si>
    <t>Effraie des clochers, Chouette effraie</t>
  </si>
  <si>
    <t>Tyto alba delicatula (Gould, 1837)</t>
  </si>
  <si>
    <t>Effraie des clochers, Chouette, Hibou</t>
  </si>
  <si>
    <t>Tyto alba (Scopoli, 1769)</t>
  </si>
  <si>
    <t>Chouette effraie, Effraie des clochers</t>
  </si>
  <si>
    <t>Upupa epops Linnaeus, 1758</t>
  </si>
  <si>
    <t>Huppe fasciée</t>
  </si>
  <si>
    <t>Uria aalge (Pontoppidan, 1763)</t>
  </si>
  <si>
    <t>Guillemot de Troïl</t>
  </si>
  <si>
    <t>Vanellus vanellus (Linnaeus, 1758)</t>
  </si>
  <si>
    <t>Vanneau huppé</t>
  </si>
  <si>
    <t>Xema sabini (Sabine, 1819)</t>
  </si>
  <si>
    <t>Mouette de Sabine</t>
  </si>
  <si>
    <t>Xenus cinereus (Güldenstädt, 1775)</t>
  </si>
  <si>
    <t>Bargette du Térek, Chevalier bargette</t>
  </si>
  <si>
    <t>Zapornia parva (Scopoli, 1769)</t>
  </si>
  <si>
    <t>Marouette poussin</t>
  </si>
  <si>
    <t>Zoothera aurea (Holandre, 1825)</t>
  </si>
  <si>
    <t>Grive dorée</t>
  </si>
  <si>
    <t>nom_vernaculaire</t>
  </si>
  <si>
    <t>Bénévole</t>
  </si>
  <si>
    <t>LPO/RN</t>
  </si>
  <si>
    <t>Bénévole LPO/RN</t>
  </si>
  <si>
    <t>nom_organisme</t>
  </si>
  <si>
    <t>id_visit</t>
  </si>
  <si>
    <t>Precision comptage</t>
  </si>
  <si>
    <t>Estimation par déduction</t>
  </si>
  <si>
    <t>Ordre de grandeur</t>
  </si>
  <si>
    <t>Précision &lt; 10%</t>
  </si>
  <si>
    <t>Sous estimation</t>
  </si>
  <si>
    <t>date</t>
  </si>
  <si>
    <t>commeVisit</t>
  </si>
  <si>
    <t>heure</t>
  </si>
  <si>
    <t>obs5</t>
  </si>
  <si>
    <t>commeObser</t>
  </si>
  <si>
    <t>comptage_mensuel</t>
  </si>
  <si>
    <t>decade</t>
  </si>
  <si>
    <t>derangement</t>
  </si>
  <si>
    <t>type_derangement</t>
  </si>
  <si>
    <t>effectif_total</t>
  </si>
  <si>
    <t>nb_ad_male</t>
  </si>
  <si>
    <t>nb_ad_femelle</t>
  </si>
  <si>
    <t>nb_ad</t>
  </si>
  <si>
    <t>nb_immat</t>
  </si>
  <si>
    <t>nb_juv</t>
  </si>
  <si>
    <t>precision_comptage</t>
  </si>
  <si>
    <t>comportement</t>
  </si>
  <si>
    <t>code_atlas</t>
  </si>
  <si>
    <t>Type de Comptage</t>
  </si>
  <si>
    <t>Type de dérangement</t>
  </si>
  <si>
    <t>Comportement</t>
  </si>
  <si>
    <t>Code atlas</t>
  </si>
  <si>
    <t>Statut de validation</t>
  </si>
  <si>
    <t>Echouage</t>
  </si>
  <si>
    <t>Dortoir</t>
  </si>
  <si>
    <t>Migration</t>
  </si>
  <si>
    <t>Construction de toile</t>
  </si>
  <si>
    <t>Halte migratoire</t>
  </si>
  <si>
    <t>Swarming</t>
  </si>
  <si>
    <t>Chasse/alimentation</t>
  </si>
  <si>
    <t>Hivernage</t>
  </si>
  <si>
    <t>Passage en vol</t>
  </si>
  <si>
    <t>Erratique</t>
  </si>
  <si>
    <t>Sédentaire</t>
  </si>
  <si>
    <t>Estivage</t>
  </si>
  <si>
    <t>Nourrissage des jeunes</t>
  </si>
  <si>
    <t>Posé</t>
  </si>
  <si>
    <t>Déplacement</t>
  </si>
  <si>
    <t>Repos</t>
  </si>
  <si>
    <t>Chant</t>
  </si>
  <si>
    <t>Accouplement</t>
  </si>
  <si>
    <t>Cœur copulatoire</t>
  </si>
  <si>
    <t>Tandem</t>
  </si>
  <si>
    <t>Territorial</t>
  </si>
  <si>
    <t>Pond</t>
  </si>
  <si>
    <t>Défense, combat</t>
  </si>
  <si>
    <t>Attention au jeune</t>
  </si>
  <si>
    <t>Thermorégulation</t>
  </si>
  <si>
    <t>Construction de nid</t>
  </si>
  <si>
    <t>Alarme</t>
  </si>
  <si>
    <t>Fuite</t>
  </si>
  <si>
    <t>Non-défini</t>
  </si>
  <si>
    <t>Bonne précision</t>
  </si>
  <si>
    <t>Comptage décadaire 1</t>
  </si>
  <si>
    <t>Comptage décadaire 3</t>
  </si>
  <si>
    <t>Comptage décadaire 2</t>
  </si>
  <si>
    <t>1 (Nidification possible)</t>
  </si>
  <si>
    <t>2 (Nidification possible)</t>
  </si>
  <si>
    <t>3 (Nidification probable)</t>
  </si>
  <si>
    <t>4 (Nidification probable)</t>
  </si>
  <si>
    <t>5 (Nidification probable)</t>
  </si>
  <si>
    <t>6 (Nidification probable)</t>
  </si>
  <si>
    <t>7 (Nidification probable)</t>
  </si>
  <si>
    <t>8 (Nidification probable)</t>
  </si>
  <si>
    <t>9 (Nidification probable)</t>
  </si>
  <si>
    <t>10 (Nidification certaine)</t>
  </si>
  <si>
    <t>11 (Nidification certaine)</t>
  </si>
  <si>
    <t>12 (Nidification certaine)</t>
  </si>
  <si>
    <t>13 (Nidification certaine)</t>
  </si>
  <si>
    <t>14 (Nidification certaine)</t>
  </si>
  <si>
    <t>15 (Nidification certaine)</t>
  </si>
  <si>
    <t>16 (Nidification certaine)</t>
  </si>
  <si>
    <t>30 - Nidification possible (défaut)</t>
  </si>
  <si>
    <t>40 - Nidification probable (défaut)</t>
  </si>
  <si>
    <t>50 - Nidification certaine (défaut)</t>
  </si>
  <si>
    <t>Aéronautique</t>
  </si>
  <si>
    <t>Balade / Promenade</t>
  </si>
  <si>
    <t>Chasse</t>
  </si>
  <si>
    <t>Pêcheur à pied</t>
  </si>
  <si>
    <t>Prédateur</t>
  </si>
  <si>
    <t>id_base_site</t>
  </si>
  <si>
    <t>SELECT s.base_site_name, s.id_base_site</t>
  </si>
  <si>
    <t>FROM gn_monitoring.t_base_sites s</t>
  </si>
  <si>
    <t>JOIN gn_monitoring.cor_site_module csm ON csm.id_base_site = s.id_base_site</t>
  </si>
  <si>
    <t>Acanthis flammea (Linnaeus, 1758)</t>
  </si>
  <si>
    <t>Actitis Illiger, 1811</t>
  </si>
  <si>
    <t>Anas sibilatrix Poeppig, 1829</t>
  </si>
  <si>
    <t>Anser caerulescens (Linnaeus, 1758)</t>
  </si>
  <si>
    <t>Tournepierre à collier, Pluvier des Salines</t>
  </si>
  <si>
    <t>Fuligule à tête noire, Petit Fuligule, Petit morillon</t>
  </si>
  <si>
    <t>Fuligule à bec cerclé, Fuligule à collier, Morillon à collier</t>
  </si>
  <si>
    <t>Branta bernicla hrota (O.F. Müller, 1776)</t>
  </si>
  <si>
    <t>Bernache à ventre pâle</t>
  </si>
  <si>
    <t>Branta bernicla nigricans (Lawrence, 1846)</t>
  </si>
  <si>
    <t>Héron garde-boeufs, Pique bœufs</t>
  </si>
  <si>
    <t>Buteo Lacépède, 1799</t>
  </si>
  <si>
    <t>Calidris ruficollis (Pallas, 1776)</t>
  </si>
  <si>
    <t>Bécasseau à cou roux</t>
  </si>
  <si>
    <t>Caprimulgiformes Ridgway, 1881</t>
  </si>
  <si>
    <t>Cecropis daurica (Laxmann, 1769)</t>
  </si>
  <si>
    <t>Chloris chloris (Linnaeus, 1758)</t>
  </si>
  <si>
    <t>Chroicocephalus philadelphia (Ord, 1815)</t>
  </si>
  <si>
    <t>Ciconia nigra (Linnaeus, 1758)</t>
  </si>
  <si>
    <t>Circus cyaneus (Linnaeus, 1766)</t>
  </si>
  <si>
    <t>Clanga clanga (Pallas, 1811)</t>
  </si>
  <si>
    <t>Clanga pomarina (C. L. Brehm, 1831)</t>
  </si>
  <si>
    <t>Creatophora cinerea (Meuschen, 1787)</t>
  </si>
  <si>
    <t>Étourneau caronculé</t>
  </si>
  <si>
    <t>Cyanistes caeruleus (Linnaeus, 1758)</t>
  </si>
  <si>
    <t>Aigrette des récifs, Aigrette à gorge blanche</t>
  </si>
  <si>
    <t>Emberiza calandra Linnaeus, 1758</t>
  </si>
  <si>
    <t>Eudromias morinellus (Linnaeus, 1758)</t>
  </si>
  <si>
    <t>Gallinula galeata (Lichtenstein, 1818)</t>
  </si>
  <si>
    <t>Gallinule d'Amérique, Poule d'eau, Gallinule poule d’eau</t>
  </si>
  <si>
    <t>Gavia J. R. Forster, 1788</t>
  </si>
  <si>
    <t>Hydrobates leucorhous (Vieillot, 1818)</t>
  </si>
  <si>
    <t>Hydrobates monorhis (Swinhoe, 1867)</t>
  </si>
  <si>
    <t>Hydroprogne caspia (Pallas, 1770)</t>
  </si>
  <si>
    <t>Leucophaeus atricilla (Linnaeus, 1758)</t>
  </si>
  <si>
    <t>Linaria cannabina (Linnaeus, 1758)</t>
  </si>
  <si>
    <t>Lophophanes cristatus (Linnaeus, 1758)</t>
  </si>
  <si>
    <t>Mareca americana (Gmelin, 1789)</t>
  </si>
  <si>
    <t>Mareca penelope (Linnaeus, 1758)</t>
  </si>
  <si>
    <t>Mareca strepera (Linnaeus, 1758)</t>
  </si>
  <si>
    <t>Mergellus albellus (Linnaeus, 1758)</t>
  </si>
  <si>
    <t>Harle piette</t>
  </si>
  <si>
    <t>Motacilla flava feldegg Michaelis, 1830</t>
  </si>
  <si>
    <t>Netta Kaup, 1829</t>
  </si>
  <si>
    <t>Onychoprion fuscatus (Linnaeus, 1766)</t>
  </si>
  <si>
    <t>Phalacrocorax carbo sinensis Staunton, 1796</t>
  </si>
  <si>
    <t>Phylloscopus fuscatus (Blyth, 1842)</t>
  </si>
  <si>
    <t>Pipile cumanensis (Jacquin, 1784)</t>
  </si>
  <si>
    <t>Platalea alba Scopoli, 1786</t>
  </si>
  <si>
    <t>Spatule d'Afrique</t>
  </si>
  <si>
    <t>Pluvier bronzé, Pluvier doré</t>
  </si>
  <si>
    <t>Saxicola rubicola (Linnaeus, 1766)</t>
  </si>
  <si>
    <t>Setophaga striata (Forster, 1772)</t>
  </si>
  <si>
    <t>Paruline rayée, Sylvette rayée</t>
  </si>
  <si>
    <t>Spatula clypeata (Linnaeus, 1758)</t>
  </si>
  <si>
    <t>Spatula cyanoptera (Vieillot, 1816)</t>
  </si>
  <si>
    <t>Spatula discors (Linnaeus, 1766)</t>
  </si>
  <si>
    <t>Spatula querquedula (Linnaeus, 1758)</t>
  </si>
  <si>
    <t>Spatula rhynchotis (Latham, 1801)</t>
  </si>
  <si>
    <t>Spinus spinus (Linnaeus, 1758)</t>
  </si>
  <si>
    <t>Stercorarius skua (Brünnich, 1764)</t>
  </si>
  <si>
    <t>Sula nebouxii Milne-Edwards, 1882</t>
  </si>
  <si>
    <t>Tadorna tadornoides (Jardine &amp; Selby, 1828)</t>
  </si>
  <si>
    <t>Thalasseus sandvicensis acuflavidus (Cabot, 1847)</t>
  </si>
  <si>
    <t>Petit Chevalier à pattes jaunes, Chevalier à pattes jaunes, Pattes jaunes</t>
  </si>
  <si>
    <t>Chevalier semipalmé, Aile Blanche</t>
  </si>
  <si>
    <t>Vanellus gregarius (Pallas, 1771)</t>
  </si>
  <si>
    <t>Zapornia pusilla (Pallas, 1776)</t>
  </si>
  <si>
    <t>FROM taxonomie.bib_noms bn</t>
  </si>
  <si>
    <t>JOIN taxonomie.taxref tx ON bn.cd_nom = tx.cd_nom</t>
  </si>
  <si>
    <t>ORDER BY tx.nom_valide;</t>
  </si>
  <si>
    <t>SELECT r.id_role, r.nom_role, r.prenom_role, TRIM(CONCAT(TRIM(r.nom_role), ' ', TRIM(r.prenom_role))) as nom_prenom_role, org.nom_organisme, r.id_role</t>
  </si>
  <si>
    <t>FROM utilisateurs.t_roles r</t>
  </si>
  <si>
    <t>JOIN utilisateurs.bib_organismes org ON org.id_organisme = r.id_organisme</t>
  </si>
  <si>
    <t>JOIN utilisateurs.cor_roles cr ON r.id_role = cr.id_role_utilisateur</t>
  </si>
  <si>
    <t>WHERE id_role_groupe IN (9,405,404) AND id_role != 1</t>
  </si>
  <si>
    <t>ORDER BY org.id_organisme, nom_prenom_role;</t>
  </si>
  <si>
    <t>ORDER BY s.base_site_name;</t>
  </si>
  <si>
    <r>
      <t xml:space="preserve">ATTENTION à bien </t>
    </r>
    <r>
      <rPr>
        <b/>
        <u/>
        <sz val="14"/>
        <color rgb="FFFF0000"/>
        <rFont val="Calibri"/>
        <family val="2"/>
        <scheme val="minor"/>
      </rPr>
      <t>dupliquer toutes les cellules oranges</t>
    </r>
    <r>
      <rPr>
        <b/>
        <sz val="14"/>
        <color rgb="FFFF0000"/>
        <rFont val="Calibri"/>
        <family val="2"/>
        <scheme val="minor"/>
      </rPr>
      <t xml:space="preserve"> pour chaque observation qui correspondera à un même relevé
</t>
    </r>
    <r>
      <rPr>
        <b/>
        <sz val="14"/>
        <color rgb="FF0070C0"/>
        <rFont val="Calibri"/>
        <family val="2"/>
        <scheme val="minor"/>
      </rPr>
      <t xml:space="preserve">Les cellules plus foncées sont à remplir </t>
    </r>
    <r>
      <rPr>
        <b/>
        <u/>
        <sz val="14"/>
        <color rgb="FF0070C0"/>
        <rFont val="Calibri"/>
        <family val="2"/>
        <scheme val="minor"/>
      </rPr>
      <t>obligatoirement</t>
    </r>
    <r>
      <rPr>
        <sz val="14"/>
        <color rgb="FF0070C0"/>
        <rFont val="Calibri"/>
        <family val="2"/>
        <scheme val="minor"/>
      </rPr>
      <t xml:space="preserve"> (ainsi que les cellules s'afficheant en rouge dans certains cas spécifique)</t>
    </r>
    <r>
      <rPr>
        <b/>
        <sz val="14"/>
        <color theme="2" tint="-0.749992370372631"/>
        <rFont val="Calibri"/>
        <family val="2"/>
        <scheme val="minor"/>
      </rPr>
      <t xml:space="preserve"> / Les cellules en grises ne sont pas à remplir et se remplissent automatiquement</t>
    </r>
  </si>
  <si>
    <t>SELECT DISTINCT tx.nom_valide, tx.nom_vern, tx.cd_ref</t>
  </si>
  <si>
    <t>WHERE id_module = 30 -- MULL</t>
  </si>
  <si>
    <t>statutObs</t>
  </si>
  <si>
    <t>Statut de l'observation</t>
  </si>
  <si>
    <t>Présent</t>
  </si>
  <si>
    <t>Non observé</t>
  </si>
  <si>
    <t>Aucun taxon saisi</t>
  </si>
  <si>
    <t>WHERE classe = 'Aves' OR tx.cd_ref = 100000000</t>
  </si>
  <si>
    <t>Anse du Galon d'or</t>
  </si>
  <si>
    <t>Arceau</t>
  </si>
  <si>
    <t>Arceau Bellevue</t>
  </si>
  <si>
    <t>Baie de Gatseau</t>
  </si>
  <si>
    <t>Baie de La Grognasse</t>
  </si>
  <si>
    <t>Baie de Marécareuil</t>
  </si>
  <si>
    <t>Baie de Saint-Lancée</t>
  </si>
  <si>
    <t>Baie de Sinche</t>
  </si>
  <si>
    <t>Baie du Chapus</t>
  </si>
  <si>
    <t>Baie Sud</t>
  </si>
  <si>
    <t>Bassin de Marennes Oléron</t>
  </si>
  <si>
    <t>Bosse aux Écossais</t>
  </si>
  <si>
    <t>Chenal d'Ors</t>
  </si>
  <si>
    <t>Chez Bris Monportail Sud</t>
  </si>
  <si>
    <t>Digue Pacaud</t>
  </si>
  <si>
    <t>Dunes du Douhet</t>
  </si>
  <si>
    <t>Dune Sud Bellevue</t>
  </si>
  <si>
    <t>Embarcadère</t>
  </si>
  <si>
    <t>Ferme aquacole</t>
  </si>
  <si>
    <t>Fort Royer</t>
  </si>
  <si>
    <t>Grand Cimetierre</t>
  </si>
  <si>
    <t>Grand Garçon</t>
  </si>
  <si>
    <t>Ile de Nole</t>
  </si>
  <si>
    <t>Ile Madame</t>
  </si>
  <si>
    <t>Jas Neuf</t>
  </si>
  <si>
    <t>La Baudissière</t>
  </si>
  <si>
    <t>La Belle Hélène</t>
  </si>
  <si>
    <t>La Brande</t>
  </si>
  <si>
    <t>La Brande Vasière</t>
  </si>
  <si>
    <t>La Cayenne</t>
  </si>
  <si>
    <t>La Citadelle</t>
  </si>
  <si>
    <t>La Claire</t>
  </si>
  <si>
    <t>La Coursive</t>
  </si>
  <si>
    <t>La Ferme des Tannes</t>
  </si>
  <si>
    <t>La Floride</t>
  </si>
  <si>
    <t>La Foirouse</t>
  </si>
  <si>
    <t>La Grande Matte</t>
  </si>
  <si>
    <t>Lagunages de Nodes</t>
  </si>
  <si>
    <t>La Lagune Nord</t>
  </si>
  <si>
    <t>La Lagune Noureau</t>
  </si>
  <si>
    <t>La Lagune Sud</t>
  </si>
  <si>
    <t>La Parcelle aux Anes</t>
  </si>
  <si>
    <t>La Perrotine</t>
  </si>
  <si>
    <t>La Plage de Saint-Froult</t>
  </si>
  <si>
    <t>La Prairie Noureau</t>
  </si>
  <si>
    <t>La Prise Saint-Denis</t>
  </si>
  <si>
    <t>La Réserve d'eau</t>
  </si>
  <si>
    <t>La Roselière</t>
  </si>
  <si>
    <t>Le Bois de Frênes</t>
  </si>
  <si>
    <t>Le Bois de La Brande</t>
  </si>
  <si>
    <t>Le Boyard</t>
  </si>
  <si>
    <t>L'écloserie</t>
  </si>
  <si>
    <t>Le Communal</t>
  </si>
  <si>
    <t>Le Golf</t>
  </si>
  <si>
    <t>Le Grand Jas</t>
  </si>
  <si>
    <t>Le Havre</t>
  </si>
  <si>
    <t>Le Mornay</t>
  </si>
  <si>
    <t>Le Pré Salé</t>
  </si>
  <si>
    <t>Le Rocher Vert</t>
  </si>
  <si>
    <t>Les Anses</t>
  </si>
  <si>
    <t>Les Baisses</t>
  </si>
  <si>
    <t>Les Bassins Salés</t>
  </si>
  <si>
    <t>Les Cleunes</t>
  </si>
  <si>
    <t>Les Cultures</t>
  </si>
  <si>
    <t>Les Doux</t>
  </si>
  <si>
    <t>Le Sentier</t>
  </si>
  <si>
    <t>Les Grands Jas 2</t>
  </si>
  <si>
    <t>Les Grands Jas 3</t>
  </si>
  <si>
    <t>Les Grossses Vases d'Ade</t>
  </si>
  <si>
    <t>Le Silo</t>
  </si>
  <si>
    <t>Les Palles</t>
  </si>
  <si>
    <t>Les Pélobates</t>
  </si>
  <si>
    <t>Les Platins</t>
  </si>
  <si>
    <t>Les Polders INRA</t>
  </si>
  <si>
    <t>Les Tannes Fournier</t>
  </si>
  <si>
    <t>Les Têtes Noires</t>
  </si>
  <si>
    <t>Les Tranquards</t>
  </si>
  <si>
    <t>Marais de Grand Valin</t>
  </si>
  <si>
    <t>Marais du Tapis Vert</t>
  </si>
  <si>
    <t>Marennes Plage</t>
  </si>
  <si>
    <t>Monportail</t>
  </si>
  <si>
    <t>Mordacq</t>
  </si>
  <si>
    <t>Moulin de La Cote</t>
  </si>
  <si>
    <t>Observatoire INRA</t>
  </si>
  <si>
    <t>Oléron Ouest</t>
  </si>
  <si>
    <t>Ostréa</t>
  </si>
  <si>
    <t>Parking Bellevue</t>
  </si>
  <si>
    <t>Passe Aux Boeufs</t>
  </si>
  <si>
    <t>Petite Plage</t>
  </si>
  <si>
    <t>Piedemont</t>
  </si>
  <si>
    <t>Plage de La Boirie</t>
  </si>
  <si>
    <t>Plage de La Cepe</t>
  </si>
  <si>
    <t>Plage du Chateau</t>
  </si>
  <si>
    <t>Plaisance</t>
  </si>
  <si>
    <t>Planginot</t>
  </si>
  <si>
    <t>Platin de Mérignac</t>
  </si>
  <si>
    <t>Platin de Saint-Froult</t>
  </si>
  <si>
    <t>Platin des Tannes</t>
  </si>
  <si>
    <t>Pointe Blanche</t>
  </si>
  <si>
    <t>Pointe d'Arceau</t>
  </si>
  <si>
    <t>Pointe de Bellevue</t>
  </si>
  <si>
    <t>Pointe de Boyardville</t>
  </si>
  <si>
    <t>Pointe de Gatseau</t>
  </si>
  <si>
    <t>Pointe de L'Ascension</t>
  </si>
  <si>
    <t>Pointe de Prouard</t>
  </si>
  <si>
    <t>Pointe des Boulassiers</t>
  </si>
  <si>
    <t>Pointe des Chardons</t>
  </si>
  <si>
    <t>Pointe des Normands</t>
  </si>
  <si>
    <t>Pointe d'Oulme</t>
  </si>
  <si>
    <t>Pont de La Seudre Rive droite</t>
  </si>
  <si>
    <t>Prairie Ouest</t>
  </si>
  <si>
    <t>Prise des Forts</t>
  </si>
  <si>
    <t>Rade de Saint-Trojan</t>
  </si>
  <si>
    <t>Réserve Naturelle De Moëze-Oléron</t>
  </si>
  <si>
    <t>RN Moëze</t>
  </si>
  <si>
    <t>RN Oléron</t>
  </si>
  <si>
    <t>Rocher des Doux</t>
  </si>
  <si>
    <t>Rocher d'Ors</t>
  </si>
  <si>
    <t>Sartière de Pressais</t>
  </si>
  <si>
    <t>Sartières du Grand Baril</t>
  </si>
  <si>
    <t>Tanne d'Arceau</t>
  </si>
  <si>
    <t>Tanne de Batifou</t>
  </si>
  <si>
    <t>Tanne de Bellevue</t>
  </si>
  <si>
    <t>Tanne de Fort Royer</t>
  </si>
  <si>
    <t>Tanne Ronde</t>
  </si>
  <si>
    <t>Travers Casier Sud</t>
  </si>
  <si>
    <t>Triangle 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</si>
</sst>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sz val="14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2" tint="-0.74999237037263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6" applyNumberFormat="0" applyAlignment="0" applyProtection="0"/>
    <xf numFmtId="0" fontId="9" fillId="6" borderId="7" applyNumberFormat="0" applyAlignment="0" applyProtection="0"/>
    <xf numFmtId="0" fontId="10" fillId="6" borderId="6" applyNumberFormat="0" applyAlignment="0" applyProtection="0"/>
    <xf numFmtId="0" fontId="11" fillId="0" borderId="8" applyNumberFormat="0" applyFill="0" applyAlignment="0" applyProtection="0"/>
    <xf numFmtId="0" fontId="12" fillId="7" borderId="9" applyNumberFormat="0" applyAlignment="0" applyProtection="0"/>
    <xf numFmtId="0" fontId="13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1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/>
    <xf numFmtId="14" fontId="0" fillId="0" borderId="0" xfId="0" applyNumberFormat="1" applyBorder="1"/>
    <xf numFmtId="0" fontId="0" fillId="0" borderId="0" xfId="0" applyFill="1" applyBorder="1"/>
    <xf numFmtId="0" fontId="0" fillId="0" borderId="0" xfId="0"/>
    <xf numFmtId="0" fontId="18" fillId="0" borderId="12" xfId="0" applyFont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4" fontId="18" fillId="33" borderId="12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4" fontId="0" fillId="0" borderId="0" xfId="0" applyNumberFormat="1"/>
    <xf numFmtId="14" fontId="18" fillId="35" borderId="12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/>
    <xf numFmtId="0" fontId="0" fillId="36" borderId="2" xfId="0" applyFill="1" applyBorder="1" applyAlignment="1">
      <alignment horizontal="center" vertical="center"/>
    </xf>
    <xf numFmtId="14" fontId="0" fillId="36" borderId="0" xfId="0" applyNumberFormat="1" applyFill="1" applyBorder="1" applyAlignment="1">
      <alignment horizontal="center" vertical="center"/>
    </xf>
    <xf numFmtId="0" fontId="0" fillId="36" borderId="0" xfId="0" applyFill="1" applyBorder="1" applyAlignment="1">
      <alignment horizontal="center" vertical="center"/>
    </xf>
    <xf numFmtId="0" fontId="0" fillId="37" borderId="0" xfId="0" applyFill="1" applyBorder="1" applyAlignment="1">
      <alignment horizontal="center" vertical="center"/>
    </xf>
    <xf numFmtId="164" fontId="0" fillId="37" borderId="0" xfId="0" applyNumberFormat="1" applyFill="1" applyBorder="1" applyAlignment="1">
      <alignment horizontal="center" vertical="center"/>
    </xf>
    <xf numFmtId="0" fontId="0" fillId="38" borderId="0" xfId="0" applyFill="1" applyBorder="1" applyAlignment="1">
      <alignment horizontal="center" vertical="center"/>
    </xf>
    <xf numFmtId="0" fontId="0" fillId="37" borderId="0" xfId="0" applyNumberFormat="1" applyFill="1" applyBorder="1" applyAlignment="1">
      <alignment horizontal="center" vertical="center"/>
    </xf>
    <xf numFmtId="0" fontId="0" fillId="0" borderId="2" xfId="0" applyNumberFormat="1" applyBorder="1"/>
    <xf numFmtId="14" fontId="0" fillId="38" borderId="0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36" borderId="14" xfId="0" applyFill="1" applyBorder="1" applyAlignment="1">
      <alignment horizontal="left" vertical="center"/>
    </xf>
    <xf numFmtId="14" fontId="0" fillId="36" borderId="14" xfId="0" applyNumberFormat="1" applyFill="1" applyBorder="1" applyAlignment="1">
      <alignment horizontal="left" vertical="center"/>
    </xf>
    <xf numFmtId="0" fontId="0" fillId="39" borderId="14" xfId="0" applyFill="1" applyBorder="1" applyAlignment="1">
      <alignment horizontal="left" vertical="center" wrapText="1"/>
    </xf>
    <xf numFmtId="0" fontId="0" fillId="37" borderId="14" xfId="0" applyFill="1" applyBorder="1" applyAlignment="1">
      <alignment horizontal="left" vertical="center"/>
    </xf>
    <xf numFmtId="0" fontId="0" fillId="40" borderId="14" xfId="0" applyFill="1" applyBorder="1" applyAlignment="1">
      <alignment horizontal="left" vertical="center"/>
    </xf>
    <xf numFmtId="164" fontId="0" fillId="40" borderId="14" xfId="0" applyNumberFormat="1" applyFill="1" applyBorder="1" applyAlignment="1">
      <alignment horizontal="left" vertical="center"/>
    </xf>
    <xf numFmtId="0" fontId="0" fillId="38" borderId="14" xfId="0" applyFill="1" applyBorder="1" applyAlignment="1">
      <alignment horizontal="left" vertical="center"/>
    </xf>
    <xf numFmtId="14" fontId="0" fillId="38" borderId="14" xfId="0" applyNumberFormat="1" applyFill="1" applyBorder="1" applyAlignment="1">
      <alignment horizontal="left" vertical="center"/>
    </xf>
    <xf numFmtId="0" fontId="0" fillId="41" borderId="1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164" fontId="18" fillId="34" borderId="12" xfId="0" applyNumberFormat="1" applyFont="1" applyFill="1" applyBorder="1" applyAlignment="1">
      <alignment horizontal="center" vertical="center"/>
    </xf>
    <xf numFmtId="0" fontId="18" fillId="34" borderId="12" xfId="0" applyNumberFormat="1" applyFont="1" applyFill="1" applyBorder="1" applyAlignment="1">
      <alignment horizontal="center" vertical="center"/>
    </xf>
    <xf numFmtId="0" fontId="18" fillId="42" borderId="13" xfId="0" applyFont="1" applyFill="1" applyBorder="1" applyAlignment="1">
      <alignment horizontal="center" vertical="center"/>
    </xf>
    <xf numFmtId="0" fontId="0" fillId="43" borderId="14" xfId="0" applyFill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</cellXfs>
  <cellStyles count="42">
    <cellStyle name="20 % - Accent1" xfId="18" builtinId="30" customBuiltin="1"/>
    <cellStyle name="20 % - Accent2" xfId="21" builtinId="34" customBuiltin="1"/>
    <cellStyle name="20 % - Accent3" xfId="24" builtinId="38" customBuiltin="1"/>
    <cellStyle name="20 % - Accent4" xfId="27" builtinId="42" customBuiltin="1"/>
    <cellStyle name="20 % - Accent5" xfId="30" builtinId="46" customBuiltin="1"/>
    <cellStyle name="20 % - Accent6" xfId="33" builtinId="50" customBuiltin="1"/>
    <cellStyle name="40 % - Accent1" xfId="19" builtinId="31" customBuiltin="1"/>
    <cellStyle name="40 % - Accent2" xfId="22" builtinId="35" customBuiltin="1"/>
    <cellStyle name="40 % - Accent3" xfId="25" builtinId="39" customBuiltin="1"/>
    <cellStyle name="40 % - Accent4" xfId="28" builtinId="43" customBuiltin="1"/>
    <cellStyle name="40 % - Accent5" xfId="31" builtinId="47" customBuiltin="1"/>
    <cellStyle name="40 % - Accent6" xfId="34" builtinId="51" customBuiltin="1"/>
    <cellStyle name="60 % - Accent1 2" xfId="36" xr:uid="{478C969D-8D16-465E-A493-B3A2B5B6F692}"/>
    <cellStyle name="60 % - Accent2 2" xfId="37" xr:uid="{24CF5A6F-E068-46DE-B41C-5624AB689705}"/>
    <cellStyle name="60 % - Accent3 2" xfId="38" xr:uid="{712232DF-026E-422B-A724-A2DE696E2DA5}"/>
    <cellStyle name="60 % - Accent4 2" xfId="39" xr:uid="{78990698-BB4B-4508-B5F7-ADB2124F4F65}"/>
    <cellStyle name="60 % - Accent5 2" xfId="40" xr:uid="{60E96262-0FEE-4B35-8BC4-6274C6E04684}"/>
    <cellStyle name="60 % - Accent6 2" xfId="41" xr:uid="{1EBBD7E1-655A-4139-A5B8-BB5718135EAE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Avertissement" xfId="13" builtinId="11" customBuiltin="1"/>
    <cellStyle name="Calcul" xfId="10" builtinId="22" customBuiltin="1"/>
    <cellStyle name="Cellule liée" xfId="11" builtinId="24" customBuiltin="1"/>
    <cellStyle name="Entrée" xfId="8" builtinId="20" customBuiltin="1"/>
    <cellStyle name="Insatisfaisant" xfId="7" builtinId="27" customBuiltin="1"/>
    <cellStyle name="Neutre 2" xfId="35" xr:uid="{1AFBD60B-3A03-42BB-93CF-CE671DFF92A3}"/>
    <cellStyle name="Normal" xfId="0" builtinId="0"/>
    <cellStyle name="Note" xfId="14" builtinId="10" customBuiltin="1"/>
    <cellStyle name="Satisfaisant" xfId="6" builtinId="26" customBuiltin="1"/>
    <cellStyle name="Sortie" xfId="9" builtinId="21" customBuiltin="1"/>
    <cellStyle name="Texte explicatif" xfId="15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6" builtinId="25" customBuiltin="1"/>
    <cellStyle name="Vérification" xfId="12" builtinId="23" customBuiltin="1"/>
  </cellStyles>
  <dxfs count="3">
    <dxf>
      <font>
        <color rgb="FF0000FF"/>
      </font>
    </dxf>
    <dxf>
      <font>
        <color rgb="FF0000FF"/>
      </font>
    </dxf>
    <dxf>
      <font>
        <color rgb="FF0000FF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AG125"/>
  <sheetViews>
    <sheetView tabSelected="1" zoomScaleNormal="100" workbookViewId="0">
      <pane ySplit="2" topLeftCell="A3" activePane="bottomLeft" state="frozen"/>
      <selection pane="bottomLeft" activeCell="B3" sqref="B3"/>
    </sheetView>
  </sheetViews>
  <sheetFormatPr baseColWidth="10" defaultColWidth="9.140625" defaultRowHeight="15" x14ac:dyDescent="0.25"/>
  <cols>
    <col min="1" max="1" width="11" style="37" bestFit="1" customWidth="1"/>
    <col min="2" max="2" width="9.42578125" style="50" bestFit="1" customWidth="1"/>
    <col min="3" max="3" width="13" style="51" customWidth="1"/>
    <col min="4" max="4" width="41.7109375" style="52" customWidth="1"/>
    <col min="5" max="5" width="19.28515625" style="51" bestFit="1" customWidth="1"/>
    <col min="6" max="6" width="25.28515625" style="51" customWidth="1"/>
    <col min="7" max="7" width="13.28515625" style="51" bestFit="1" customWidth="1"/>
    <col min="8" max="8" width="18.5703125" style="51" bestFit="1" customWidth="1"/>
    <col min="9" max="9" width="25.28515625" style="52" customWidth="1"/>
    <col min="10" max="10" width="38.28515625" style="52" customWidth="1"/>
    <col min="11" max="11" width="25.42578125" style="53" customWidth="1"/>
    <col min="12" max="13" width="25.42578125" style="52" customWidth="1"/>
    <col min="14" max="14" width="25.7109375" style="52" customWidth="1"/>
    <col min="15" max="15" width="25.7109375" style="38" customWidth="1"/>
    <col min="16" max="16" width="25.7109375" style="50" customWidth="1"/>
    <col min="17" max="18" width="25.7109375" style="52" customWidth="1"/>
    <col min="19" max="19" width="22" style="52" customWidth="1"/>
    <col min="20" max="20" width="16" style="52" customWidth="1"/>
    <col min="21" max="21" width="12.7109375" style="52" customWidth="1"/>
    <col min="22" max="22" width="14.85546875" style="52" bestFit="1" customWidth="1"/>
    <col min="23" max="25" width="12.7109375" style="52" customWidth="1"/>
    <col min="26" max="26" width="19.85546875" style="37" bestFit="1" customWidth="1"/>
    <col min="27" max="27" width="21.85546875" style="38" bestFit="1" customWidth="1"/>
    <col min="28" max="28" width="31.7109375" style="37" bestFit="1" customWidth="1"/>
    <col min="29" max="29" width="46.7109375" style="37" customWidth="1"/>
    <col min="30" max="30" width="22.42578125" style="37" bestFit="1" customWidth="1"/>
    <col min="31" max="31" width="21.140625" style="37" customWidth="1"/>
    <col min="32" max="32" width="13.7109375" style="37" customWidth="1"/>
    <col min="33" max="33" width="24.140625" style="37" customWidth="1"/>
    <col min="34" max="16384" width="9.140625" style="37"/>
  </cols>
  <sheetData>
    <row r="1" spans="1:33" s="39" customFormat="1" ht="40.5" customHeight="1" x14ac:dyDescent="0.25">
      <c r="A1" s="58" t="s">
        <v>1094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36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8"/>
      <c r="AD1" s="37"/>
      <c r="AE1" s="37"/>
      <c r="AF1" s="37"/>
      <c r="AG1" s="38"/>
    </row>
    <row r="2" spans="1:33" s="25" customFormat="1" ht="15.75" x14ac:dyDescent="0.25">
      <c r="A2" s="21" t="s">
        <v>0</v>
      </c>
      <c r="B2" s="22" t="s">
        <v>926</v>
      </c>
      <c r="C2" s="22" t="s">
        <v>932</v>
      </c>
      <c r="D2" s="22" t="s">
        <v>31</v>
      </c>
      <c r="E2" s="22" t="s">
        <v>937</v>
      </c>
      <c r="F2" s="22" t="s">
        <v>938</v>
      </c>
      <c r="G2" s="22" t="s">
        <v>939</v>
      </c>
      <c r="H2" s="22" t="s">
        <v>940</v>
      </c>
      <c r="I2" s="22" t="s">
        <v>933</v>
      </c>
      <c r="J2" s="23" t="s">
        <v>34</v>
      </c>
      <c r="K2" s="56" t="s">
        <v>921</v>
      </c>
      <c r="L2" s="56" t="s">
        <v>5</v>
      </c>
      <c r="M2" s="23" t="s">
        <v>934</v>
      </c>
      <c r="N2" s="23" t="s">
        <v>28</v>
      </c>
      <c r="O2" s="23" t="s">
        <v>2</v>
      </c>
      <c r="P2" s="23" t="s">
        <v>3</v>
      </c>
      <c r="Q2" s="23" t="s">
        <v>4</v>
      </c>
      <c r="R2" s="23" t="s">
        <v>935</v>
      </c>
      <c r="S2" s="23" t="s">
        <v>1097</v>
      </c>
      <c r="T2" s="23" t="s">
        <v>941</v>
      </c>
      <c r="U2" s="23" t="s">
        <v>942</v>
      </c>
      <c r="V2" s="23" t="s">
        <v>943</v>
      </c>
      <c r="W2" s="23" t="s">
        <v>944</v>
      </c>
      <c r="X2" s="23" t="s">
        <v>945</v>
      </c>
      <c r="Y2" s="23" t="s">
        <v>946</v>
      </c>
      <c r="Z2" s="23" t="s">
        <v>947</v>
      </c>
      <c r="AA2" s="23" t="s">
        <v>948</v>
      </c>
      <c r="AB2" s="23" t="s">
        <v>949</v>
      </c>
      <c r="AC2" s="23" t="s">
        <v>936</v>
      </c>
      <c r="AD2" s="24" t="s">
        <v>6</v>
      </c>
      <c r="AE2" s="24" t="s">
        <v>7</v>
      </c>
      <c r="AF2" s="24" t="s">
        <v>8</v>
      </c>
      <c r="AG2" s="24" t="s">
        <v>9</v>
      </c>
    </row>
    <row r="3" spans="1:33" x14ac:dyDescent="0.25">
      <c r="A3" s="40">
        <v>1</v>
      </c>
      <c r="B3" s="41">
        <v>1</v>
      </c>
      <c r="C3" s="42">
        <v>43987</v>
      </c>
      <c r="D3" s="41" t="s">
        <v>1103</v>
      </c>
      <c r="E3" s="41" t="s">
        <v>18</v>
      </c>
      <c r="F3" s="41" t="s">
        <v>987</v>
      </c>
      <c r="G3" s="41" t="s">
        <v>21</v>
      </c>
      <c r="H3" s="41" t="s">
        <v>983</v>
      </c>
      <c r="I3" s="43"/>
      <c r="J3" s="44" t="s">
        <v>43</v>
      </c>
      <c r="K3" s="57" t="str">
        <f>IF(J3&lt;&gt;"",IF(VLOOKUP(J3,Taxons!A:C,2,FALSE)=0,"",VLOOKUP(J3,Taxons!A:C,2,FALSE)),"")</f>
        <v>Épervier d'Europe</v>
      </c>
      <c r="L3" s="57">
        <f>IF(J3&lt;&gt;"",VLOOKUP(J3,Taxons!A:C,3,FALSE),"")</f>
        <v>2895</v>
      </c>
      <c r="M3" s="46">
        <v>0.97638888888888886</v>
      </c>
      <c r="N3" s="44" t="s">
        <v>30</v>
      </c>
      <c r="O3" s="45"/>
      <c r="P3" s="45"/>
      <c r="Q3" s="45"/>
      <c r="R3" s="45"/>
      <c r="S3" s="44" t="s">
        <v>1099</v>
      </c>
      <c r="T3" s="44">
        <v>3</v>
      </c>
      <c r="U3" s="45">
        <v>2</v>
      </c>
      <c r="V3" s="45">
        <v>1</v>
      </c>
      <c r="W3" s="45"/>
      <c r="X3" s="45"/>
      <c r="Y3" s="45"/>
      <c r="Z3" s="44" t="s">
        <v>984</v>
      </c>
      <c r="AA3" s="44" t="s">
        <v>22</v>
      </c>
      <c r="AB3" s="44" t="s">
        <v>983</v>
      </c>
      <c r="AC3" s="45"/>
      <c r="AD3" s="47" t="s">
        <v>20</v>
      </c>
      <c r="AE3" s="47" t="s">
        <v>30</v>
      </c>
      <c r="AF3" s="48">
        <v>43988</v>
      </c>
      <c r="AG3" s="49"/>
    </row>
    <row r="4" spans="1:33" x14ac:dyDescent="0.25">
      <c r="A4" s="40"/>
      <c r="B4" s="41"/>
      <c r="C4" s="42"/>
      <c r="D4" s="41"/>
      <c r="E4" s="41"/>
      <c r="F4" s="41"/>
      <c r="G4" s="41"/>
      <c r="H4" s="41"/>
      <c r="I4" s="43"/>
      <c r="J4" s="44"/>
      <c r="K4" s="57" t="str">
        <f>IF(J4&lt;&gt;"",IF(VLOOKUP(J4,Taxons!A:C,2,FALSE)=0,"",VLOOKUP(J4,Taxons!A:C,2,FALSE)),"")</f>
        <v/>
      </c>
      <c r="L4" s="57" t="str">
        <f>IF(J4&lt;&gt;"",VLOOKUP(J4,Taxons!A:C,3,FALSE),"")</f>
        <v/>
      </c>
      <c r="M4" s="46"/>
      <c r="N4" s="44"/>
      <c r="O4" s="45"/>
      <c r="P4" s="45"/>
      <c r="Q4" s="45"/>
      <c r="R4" s="45"/>
      <c r="S4" s="44"/>
      <c r="T4" s="44"/>
      <c r="U4" s="45"/>
      <c r="V4" s="45"/>
      <c r="W4" s="45"/>
      <c r="X4" s="45"/>
      <c r="Y4" s="45"/>
      <c r="Z4" s="44"/>
      <c r="AA4" s="44"/>
      <c r="AB4" s="44"/>
      <c r="AC4" s="45"/>
      <c r="AD4" s="47"/>
      <c r="AE4" s="47"/>
      <c r="AF4" s="48"/>
      <c r="AG4" s="49"/>
    </row>
    <row r="5" spans="1:33" x14ac:dyDescent="0.25">
      <c r="A5" s="40"/>
      <c r="B5" s="41"/>
      <c r="C5" s="42"/>
      <c r="D5" s="41"/>
      <c r="E5" s="41"/>
      <c r="F5" s="41"/>
      <c r="G5" s="41"/>
      <c r="H5" s="41"/>
      <c r="I5" s="43"/>
      <c r="J5" s="44"/>
      <c r="K5" s="57" t="str">
        <f>IF(J5&lt;&gt;"",IF(VLOOKUP(J5,Taxons!A:C,2,FALSE)=0,"",VLOOKUP(J5,Taxons!A:C,2,FALSE)),"")</f>
        <v/>
      </c>
      <c r="L5" s="57" t="str">
        <f>IF(J5&lt;&gt;"",VLOOKUP(J5,Taxons!A:C,3,FALSE),"")</f>
        <v/>
      </c>
      <c r="M5" s="46"/>
      <c r="N5" s="44"/>
      <c r="O5" s="45"/>
      <c r="P5" s="45"/>
      <c r="Q5" s="45"/>
      <c r="R5" s="45"/>
      <c r="S5" s="44"/>
      <c r="T5" s="44"/>
      <c r="U5" s="45"/>
      <c r="V5" s="45"/>
      <c r="W5" s="45"/>
      <c r="X5" s="45"/>
      <c r="Y5" s="45"/>
      <c r="Z5" s="44"/>
      <c r="AA5" s="44"/>
      <c r="AB5" s="44"/>
      <c r="AC5" s="45"/>
      <c r="AD5" s="47"/>
      <c r="AE5" s="47"/>
      <c r="AF5" s="48"/>
      <c r="AG5" s="49"/>
    </row>
    <row r="6" spans="1:33" x14ac:dyDescent="0.25">
      <c r="A6" s="40"/>
      <c r="B6" s="41"/>
      <c r="C6" s="42"/>
      <c r="D6" s="41"/>
      <c r="E6" s="41"/>
      <c r="F6" s="41"/>
      <c r="G6" s="41"/>
      <c r="H6" s="41"/>
      <c r="I6" s="43"/>
      <c r="J6" s="44"/>
      <c r="K6" s="57" t="str">
        <f>IF(J6&lt;&gt;"",IF(VLOOKUP(J6,Taxons!A:C,2,FALSE)=0,"",VLOOKUP(J6,Taxons!A:C,2,FALSE)),"")</f>
        <v/>
      </c>
      <c r="L6" s="57" t="str">
        <f>IF(J6&lt;&gt;"",VLOOKUP(J6,Taxons!A:C,3,FALSE),"")</f>
        <v/>
      </c>
      <c r="M6" s="46"/>
      <c r="N6" s="44"/>
      <c r="O6" s="45"/>
      <c r="P6" s="45"/>
      <c r="Q6" s="45"/>
      <c r="R6" s="45"/>
      <c r="S6" s="44"/>
      <c r="T6" s="44"/>
      <c r="U6" s="45"/>
      <c r="V6" s="45"/>
      <c r="W6" s="45"/>
      <c r="X6" s="45"/>
      <c r="Y6" s="45"/>
      <c r="Z6" s="44"/>
      <c r="AA6" s="44"/>
      <c r="AB6" s="44"/>
      <c r="AC6" s="45"/>
      <c r="AD6" s="47"/>
      <c r="AE6" s="47"/>
      <c r="AF6" s="48"/>
      <c r="AG6" s="49"/>
    </row>
    <row r="7" spans="1:33" x14ac:dyDescent="0.25">
      <c r="A7" s="40"/>
      <c r="B7" s="41"/>
      <c r="C7" s="42"/>
      <c r="D7" s="41"/>
      <c r="E7" s="41"/>
      <c r="F7" s="41"/>
      <c r="G7" s="41"/>
      <c r="H7" s="41"/>
      <c r="I7" s="43"/>
      <c r="J7" s="44"/>
      <c r="K7" s="57" t="str">
        <f>IF(J7&lt;&gt;"",IF(VLOOKUP(J7,Taxons!A:C,2,FALSE)=0,"",VLOOKUP(J7,Taxons!A:C,2,FALSE)),"")</f>
        <v/>
      </c>
      <c r="L7" s="57" t="str">
        <f>IF(J7&lt;&gt;"",VLOOKUP(J7,Taxons!A:C,3,FALSE),"")</f>
        <v/>
      </c>
      <c r="M7" s="46"/>
      <c r="N7" s="44"/>
      <c r="O7" s="45"/>
      <c r="P7" s="45"/>
      <c r="Q7" s="45"/>
      <c r="R7" s="45"/>
      <c r="S7" s="44"/>
      <c r="T7" s="44"/>
      <c r="U7" s="45"/>
      <c r="V7" s="45"/>
      <c r="W7" s="45"/>
      <c r="X7" s="45"/>
      <c r="Y7" s="45"/>
      <c r="Z7" s="44"/>
      <c r="AA7" s="44"/>
      <c r="AB7" s="44"/>
      <c r="AC7" s="45"/>
      <c r="AD7" s="47"/>
      <c r="AE7" s="47"/>
      <c r="AF7" s="48"/>
      <c r="AG7" s="49"/>
    </row>
    <row r="8" spans="1:33" x14ac:dyDescent="0.25">
      <c r="A8" s="40"/>
      <c r="B8" s="41"/>
      <c r="C8" s="42"/>
      <c r="D8" s="41"/>
      <c r="E8" s="41"/>
      <c r="F8" s="41"/>
      <c r="G8" s="41"/>
      <c r="H8" s="41"/>
      <c r="I8" s="43"/>
      <c r="J8" s="44"/>
      <c r="K8" s="57" t="str">
        <f>IF(J8&lt;&gt;"",IF(VLOOKUP(J8,Taxons!A:C,2,FALSE)=0,"",VLOOKUP(J8,Taxons!A:C,2,FALSE)),"")</f>
        <v/>
      </c>
      <c r="L8" s="57" t="str">
        <f>IF(J8&lt;&gt;"",VLOOKUP(J8,Taxons!A:C,3,FALSE),"")</f>
        <v/>
      </c>
      <c r="M8" s="46"/>
      <c r="N8" s="44"/>
      <c r="O8" s="45"/>
      <c r="P8" s="45"/>
      <c r="Q8" s="45"/>
      <c r="R8" s="45"/>
      <c r="S8" s="44"/>
      <c r="T8" s="44"/>
      <c r="U8" s="45"/>
      <c r="V8" s="45"/>
      <c r="W8" s="45"/>
      <c r="X8" s="45"/>
      <c r="Y8" s="45"/>
      <c r="Z8" s="44"/>
      <c r="AA8" s="44"/>
      <c r="AB8" s="44"/>
      <c r="AC8" s="45"/>
      <c r="AD8" s="47"/>
      <c r="AE8" s="47"/>
      <c r="AF8" s="48"/>
      <c r="AG8" s="49"/>
    </row>
    <row r="9" spans="1:33" x14ac:dyDescent="0.25">
      <c r="A9" s="40"/>
      <c r="B9" s="41"/>
      <c r="C9" s="42"/>
      <c r="D9" s="41"/>
      <c r="E9" s="41"/>
      <c r="F9" s="41"/>
      <c r="G9" s="41"/>
      <c r="H9" s="41"/>
      <c r="I9" s="43"/>
      <c r="J9" s="44"/>
      <c r="K9" s="57" t="str">
        <f>IF(J9&lt;&gt;"",IF(VLOOKUP(J9,Taxons!A:C,2,FALSE)=0,"",VLOOKUP(J9,Taxons!A:C,2,FALSE)),"")</f>
        <v/>
      </c>
      <c r="L9" s="57" t="str">
        <f>IF(J9&lt;&gt;"",VLOOKUP(J9,Taxons!A:C,3,FALSE),"")</f>
        <v/>
      </c>
      <c r="M9" s="46"/>
      <c r="N9" s="44"/>
      <c r="O9" s="45"/>
      <c r="P9" s="45"/>
      <c r="Q9" s="45"/>
      <c r="R9" s="45"/>
      <c r="S9" s="44"/>
      <c r="T9" s="44"/>
      <c r="U9" s="45"/>
      <c r="V9" s="45"/>
      <c r="W9" s="45"/>
      <c r="X9" s="45"/>
      <c r="Y9" s="45"/>
      <c r="Z9" s="44"/>
      <c r="AA9" s="44"/>
      <c r="AB9" s="44"/>
      <c r="AC9" s="45"/>
      <c r="AD9" s="47"/>
      <c r="AE9" s="47"/>
      <c r="AF9" s="48"/>
      <c r="AG9" s="49"/>
    </row>
    <row r="10" spans="1:33" x14ac:dyDescent="0.25">
      <c r="A10" s="40"/>
      <c r="B10" s="41"/>
      <c r="C10" s="42"/>
      <c r="D10" s="41"/>
      <c r="E10" s="41"/>
      <c r="F10" s="41"/>
      <c r="G10" s="41"/>
      <c r="H10" s="41"/>
      <c r="I10" s="43"/>
      <c r="J10" s="44"/>
      <c r="K10" s="57" t="str">
        <f>IF(J10&lt;&gt;"",IF(VLOOKUP(J10,Taxons!A:C,2,FALSE)=0,"",VLOOKUP(J10,Taxons!A:C,2,FALSE)),"")</f>
        <v/>
      </c>
      <c r="L10" s="57" t="str">
        <f>IF(J10&lt;&gt;"",VLOOKUP(J10,Taxons!A:C,3,FALSE),"")</f>
        <v/>
      </c>
      <c r="M10" s="46"/>
      <c r="N10" s="44"/>
      <c r="O10" s="45"/>
      <c r="P10" s="45"/>
      <c r="Q10" s="45"/>
      <c r="R10" s="45"/>
      <c r="S10" s="44"/>
      <c r="T10" s="44"/>
      <c r="U10" s="45"/>
      <c r="V10" s="45"/>
      <c r="W10" s="45"/>
      <c r="X10" s="45"/>
      <c r="Y10" s="45"/>
      <c r="Z10" s="44"/>
      <c r="AA10" s="44"/>
      <c r="AB10" s="44"/>
      <c r="AC10" s="45"/>
      <c r="AD10" s="47"/>
      <c r="AE10" s="47"/>
      <c r="AF10" s="48"/>
      <c r="AG10" s="49"/>
    </row>
    <row r="11" spans="1:33" x14ac:dyDescent="0.25">
      <c r="A11" s="40"/>
      <c r="B11" s="41"/>
      <c r="C11" s="42"/>
      <c r="D11" s="41"/>
      <c r="E11" s="41"/>
      <c r="F11" s="41"/>
      <c r="G11" s="41"/>
      <c r="H11" s="41"/>
      <c r="I11" s="43"/>
      <c r="J11" s="44"/>
      <c r="K11" s="57" t="str">
        <f>IF(J11&lt;&gt;"",IF(VLOOKUP(J11,Taxons!A:C,2,FALSE)=0,"",VLOOKUP(J11,Taxons!A:C,2,FALSE)),"")</f>
        <v/>
      </c>
      <c r="L11" s="57" t="str">
        <f>IF(J11&lt;&gt;"",VLOOKUP(J11,Taxons!A:C,3,FALSE),"")</f>
        <v/>
      </c>
      <c r="M11" s="46"/>
      <c r="N11" s="44"/>
      <c r="O11" s="45"/>
      <c r="P11" s="45"/>
      <c r="Q11" s="45"/>
      <c r="R11" s="45"/>
      <c r="S11" s="44"/>
      <c r="T11" s="44"/>
      <c r="U11" s="45"/>
      <c r="V11" s="45"/>
      <c r="W11" s="45"/>
      <c r="X11" s="45"/>
      <c r="Y11" s="45"/>
      <c r="Z11" s="44"/>
      <c r="AA11" s="44"/>
      <c r="AB11" s="44"/>
      <c r="AC11" s="45"/>
      <c r="AD11" s="47"/>
      <c r="AE11" s="47"/>
      <c r="AF11" s="48"/>
      <c r="AG11" s="49"/>
    </row>
    <row r="12" spans="1:33" x14ac:dyDescent="0.25">
      <c r="A12" s="40"/>
      <c r="B12" s="41"/>
      <c r="C12" s="42"/>
      <c r="D12" s="41"/>
      <c r="E12" s="41"/>
      <c r="F12" s="41"/>
      <c r="G12" s="41"/>
      <c r="H12" s="41"/>
      <c r="I12" s="43"/>
      <c r="J12" s="44"/>
      <c r="K12" s="57" t="str">
        <f>IF(J12&lt;&gt;"",IF(VLOOKUP(J12,Taxons!A:C,2,FALSE)=0,"",VLOOKUP(J12,Taxons!A:C,2,FALSE)),"")</f>
        <v/>
      </c>
      <c r="L12" s="57" t="str">
        <f>IF(J12&lt;&gt;"",VLOOKUP(J12,Taxons!A:C,3,FALSE),"")</f>
        <v/>
      </c>
      <c r="M12" s="46"/>
      <c r="N12" s="44"/>
      <c r="O12" s="45"/>
      <c r="P12" s="45"/>
      <c r="Q12" s="45"/>
      <c r="R12" s="45"/>
      <c r="S12" s="44"/>
      <c r="T12" s="44"/>
      <c r="U12" s="45"/>
      <c r="V12" s="45"/>
      <c r="W12" s="45"/>
      <c r="X12" s="45"/>
      <c r="Y12" s="45"/>
      <c r="Z12" s="44"/>
      <c r="AA12" s="44"/>
      <c r="AB12" s="44"/>
      <c r="AC12" s="45"/>
      <c r="AD12" s="47"/>
      <c r="AE12" s="47"/>
      <c r="AF12" s="48"/>
      <c r="AG12" s="49"/>
    </row>
    <row r="13" spans="1:33" x14ac:dyDescent="0.25">
      <c r="A13" s="40"/>
      <c r="B13" s="41"/>
      <c r="C13" s="42"/>
      <c r="D13" s="41"/>
      <c r="E13" s="41"/>
      <c r="F13" s="41"/>
      <c r="G13" s="41"/>
      <c r="H13" s="41"/>
      <c r="I13" s="43"/>
      <c r="J13" s="44"/>
      <c r="K13" s="57" t="str">
        <f>IF(J13&lt;&gt;"",IF(VLOOKUP(J13,Taxons!A:C,2,FALSE)=0,"",VLOOKUP(J13,Taxons!A:C,2,FALSE)),"")</f>
        <v/>
      </c>
      <c r="L13" s="57" t="str">
        <f>IF(J13&lt;&gt;"",VLOOKUP(J13,Taxons!A:C,3,FALSE),"")</f>
        <v/>
      </c>
      <c r="M13" s="46"/>
      <c r="N13" s="44"/>
      <c r="O13" s="45"/>
      <c r="P13" s="45"/>
      <c r="Q13" s="45"/>
      <c r="R13" s="45"/>
      <c r="S13" s="44"/>
      <c r="T13" s="44"/>
      <c r="U13" s="45"/>
      <c r="V13" s="45"/>
      <c r="W13" s="45"/>
      <c r="X13" s="45"/>
      <c r="Y13" s="45"/>
      <c r="Z13" s="44"/>
      <c r="AA13" s="44"/>
      <c r="AB13" s="44"/>
      <c r="AC13" s="45"/>
      <c r="AD13" s="47"/>
      <c r="AE13" s="47"/>
      <c r="AF13" s="48"/>
      <c r="AG13" s="49"/>
    </row>
    <row r="14" spans="1:33" x14ac:dyDescent="0.25">
      <c r="A14" s="40"/>
      <c r="B14" s="41"/>
      <c r="C14" s="42"/>
      <c r="D14" s="41"/>
      <c r="E14" s="41"/>
      <c r="F14" s="41"/>
      <c r="G14" s="41"/>
      <c r="H14" s="41"/>
      <c r="I14" s="43"/>
      <c r="J14" s="44"/>
      <c r="K14" s="57" t="str">
        <f>IF(J14&lt;&gt;"",IF(VLOOKUP(J14,Taxons!A:C,2,FALSE)=0,"",VLOOKUP(J14,Taxons!A:C,2,FALSE)),"")</f>
        <v/>
      </c>
      <c r="L14" s="57" t="str">
        <f>IF(J14&lt;&gt;"",VLOOKUP(J14,Taxons!A:C,3,FALSE),"")</f>
        <v/>
      </c>
      <c r="M14" s="46"/>
      <c r="N14" s="44"/>
      <c r="O14" s="45"/>
      <c r="P14" s="45"/>
      <c r="Q14" s="45"/>
      <c r="R14" s="45"/>
      <c r="S14" s="44"/>
      <c r="T14" s="44"/>
      <c r="U14" s="45"/>
      <c r="V14" s="45"/>
      <c r="W14" s="45"/>
      <c r="X14" s="45"/>
      <c r="Y14" s="45"/>
      <c r="Z14" s="44"/>
      <c r="AA14" s="44"/>
      <c r="AB14" s="44"/>
      <c r="AC14" s="45"/>
      <c r="AD14" s="47"/>
      <c r="AE14" s="47"/>
      <c r="AF14" s="48"/>
      <c r="AG14" s="49"/>
    </row>
    <row r="15" spans="1:33" x14ac:dyDescent="0.25">
      <c r="A15" s="40"/>
      <c r="B15" s="41"/>
      <c r="C15" s="42"/>
      <c r="D15" s="41"/>
      <c r="E15" s="41"/>
      <c r="F15" s="41"/>
      <c r="G15" s="41"/>
      <c r="H15" s="41"/>
      <c r="I15" s="43"/>
      <c r="J15" s="44"/>
      <c r="K15" s="57" t="str">
        <f>IF(J15&lt;&gt;"",IF(VLOOKUP(J15,Taxons!A:C,2,FALSE)=0,"",VLOOKUP(J15,Taxons!A:C,2,FALSE)),"")</f>
        <v/>
      </c>
      <c r="L15" s="57" t="str">
        <f>IF(J15&lt;&gt;"",VLOOKUP(J15,Taxons!A:C,3,FALSE),"")</f>
        <v/>
      </c>
      <c r="M15" s="46"/>
      <c r="N15" s="44"/>
      <c r="O15" s="45"/>
      <c r="P15" s="45"/>
      <c r="Q15" s="45"/>
      <c r="R15" s="45"/>
      <c r="S15" s="44"/>
      <c r="T15" s="44"/>
      <c r="U15" s="45"/>
      <c r="V15" s="45"/>
      <c r="W15" s="45"/>
      <c r="X15" s="45"/>
      <c r="Y15" s="45"/>
      <c r="Z15" s="44"/>
      <c r="AA15" s="44"/>
      <c r="AB15" s="44"/>
      <c r="AC15" s="45"/>
      <c r="AD15" s="47"/>
      <c r="AE15" s="47"/>
      <c r="AF15" s="48"/>
      <c r="AG15" s="49"/>
    </row>
    <row r="16" spans="1:33" x14ac:dyDescent="0.25">
      <c r="A16" s="40"/>
      <c r="B16" s="41"/>
      <c r="C16" s="42"/>
      <c r="D16" s="41"/>
      <c r="E16" s="41"/>
      <c r="F16" s="41"/>
      <c r="G16" s="41"/>
      <c r="H16" s="41"/>
      <c r="I16" s="43"/>
      <c r="J16" s="44"/>
      <c r="K16" s="57" t="str">
        <f>IF(J16&lt;&gt;"",IF(VLOOKUP(J16,Taxons!A:C,2,FALSE)=0,"",VLOOKUP(J16,Taxons!A:C,2,FALSE)),"")</f>
        <v/>
      </c>
      <c r="L16" s="57" t="str">
        <f>IF(J16&lt;&gt;"",VLOOKUP(J16,Taxons!A:C,3,FALSE),"")</f>
        <v/>
      </c>
      <c r="M16" s="46"/>
      <c r="N16" s="44"/>
      <c r="O16" s="45"/>
      <c r="P16" s="45"/>
      <c r="Q16" s="45"/>
      <c r="R16" s="45"/>
      <c r="S16" s="44"/>
      <c r="T16" s="44"/>
      <c r="U16" s="45"/>
      <c r="V16" s="45"/>
      <c r="W16" s="45"/>
      <c r="X16" s="45"/>
      <c r="Y16" s="45"/>
      <c r="Z16" s="44"/>
      <c r="AA16" s="44"/>
      <c r="AB16" s="44"/>
      <c r="AC16" s="45"/>
      <c r="AD16" s="47"/>
      <c r="AE16" s="47"/>
      <c r="AF16" s="48"/>
      <c r="AG16" s="49"/>
    </row>
    <row r="17" spans="1:33" x14ac:dyDescent="0.25">
      <c r="A17" s="40"/>
      <c r="B17" s="41"/>
      <c r="C17" s="42"/>
      <c r="D17" s="41"/>
      <c r="E17" s="41"/>
      <c r="F17" s="41"/>
      <c r="G17" s="41"/>
      <c r="H17" s="41"/>
      <c r="I17" s="43"/>
      <c r="J17" s="44"/>
      <c r="K17" s="57" t="str">
        <f>IF(J17&lt;&gt;"",IF(VLOOKUP(J17,Taxons!A:C,2,FALSE)=0,"",VLOOKUP(J17,Taxons!A:C,2,FALSE)),"")</f>
        <v/>
      </c>
      <c r="L17" s="57" t="str">
        <f>IF(J17&lt;&gt;"",VLOOKUP(J17,Taxons!A:C,3,FALSE),"")</f>
        <v/>
      </c>
      <c r="M17" s="46"/>
      <c r="N17" s="44"/>
      <c r="O17" s="45"/>
      <c r="P17" s="45"/>
      <c r="Q17" s="45"/>
      <c r="R17" s="45"/>
      <c r="S17" s="44"/>
      <c r="T17" s="44"/>
      <c r="U17" s="45"/>
      <c r="V17" s="45"/>
      <c r="W17" s="45"/>
      <c r="X17" s="45"/>
      <c r="Y17" s="45"/>
      <c r="Z17" s="44"/>
      <c r="AA17" s="44"/>
      <c r="AB17" s="44"/>
      <c r="AC17" s="45"/>
      <c r="AD17" s="47"/>
      <c r="AE17" s="47"/>
      <c r="AF17" s="48"/>
      <c r="AG17" s="49"/>
    </row>
    <row r="18" spans="1:33" x14ac:dyDescent="0.25">
      <c r="A18" s="40"/>
      <c r="B18" s="41"/>
      <c r="C18" s="42"/>
      <c r="D18" s="41"/>
      <c r="E18" s="41"/>
      <c r="F18" s="41"/>
      <c r="G18" s="41"/>
      <c r="H18" s="41"/>
      <c r="I18" s="43"/>
      <c r="J18" s="44"/>
      <c r="K18" s="57" t="str">
        <f>IF(J18&lt;&gt;"",IF(VLOOKUP(J18,Taxons!A:C,2,FALSE)=0,"",VLOOKUP(J18,Taxons!A:C,2,FALSE)),"")</f>
        <v/>
      </c>
      <c r="L18" s="57" t="str">
        <f>IF(J18&lt;&gt;"",VLOOKUP(J18,Taxons!A:C,3,FALSE),"")</f>
        <v/>
      </c>
      <c r="M18" s="46"/>
      <c r="N18" s="44"/>
      <c r="O18" s="45"/>
      <c r="P18" s="45"/>
      <c r="Q18" s="45"/>
      <c r="R18" s="45"/>
      <c r="S18" s="44"/>
      <c r="T18" s="44"/>
      <c r="U18" s="45"/>
      <c r="V18" s="45"/>
      <c r="W18" s="45"/>
      <c r="X18" s="45"/>
      <c r="Y18" s="45"/>
      <c r="Z18" s="44"/>
      <c r="AA18" s="44"/>
      <c r="AB18" s="44"/>
      <c r="AC18" s="45"/>
      <c r="AD18" s="47"/>
      <c r="AE18" s="47"/>
      <c r="AF18" s="48"/>
      <c r="AG18" s="49"/>
    </row>
    <row r="19" spans="1:33" x14ac:dyDescent="0.25">
      <c r="A19" s="40"/>
      <c r="B19" s="41"/>
      <c r="C19" s="42"/>
      <c r="D19" s="41"/>
      <c r="E19" s="41"/>
      <c r="F19" s="41"/>
      <c r="G19" s="41"/>
      <c r="H19" s="41"/>
      <c r="I19" s="43"/>
      <c r="J19" s="44"/>
      <c r="K19" s="57" t="str">
        <f>IF(J19&lt;&gt;"",IF(VLOOKUP(J19,Taxons!A:C,2,FALSE)=0,"",VLOOKUP(J19,Taxons!A:C,2,FALSE)),"")</f>
        <v/>
      </c>
      <c r="L19" s="57" t="str">
        <f>IF(J19&lt;&gt;"",VLOOKUP(J19,Taxons!A:C,3,FALSE),"")</f>
        <v/>
      </c>
      <c r="M19" s="46"/>
      <c r="N19" s="44"/>
      <c r="O19" s="45"/>
      <c r="P19" s="45"/>
      <c r="Q19" s="45"/>
      <c r="R19" s="45"/>
      <c r="S19" s="44"/>
      <c r="T19" s="44"/>
      <c r="U19" s="45"/>
      <c r="V19" s="45"/>
      <c r="W19" s="45"/>
      <c r="X19" s="45"/>
      <c r="Y19" s="45"/>
      <c r="Z19" s="44"/>
      <c r="AA19" s="44"/>
      <c r="AB19" s="44"/>
      <c r="AC19" s="45"/>
      <c r="AD19" s="47"/>
      <c r="AE19" s="47"/>
      <c r="AF19" s="48"/>
      <c r="AG19" s="49"/>
    </row>
    <row r="20" spans="1:33" x14ac:dyDescent="0.25">
      <c r="A20" s="40"/>
      <c r="B20" s="41"/>
      <c r="C20" s="42"/>
      <c r="D20" s="41"/>
      <c r="E20" s="41"/>
      <c r="F20" s="41"/>
      <c r="G20" s="41"/>
      <c r="H20" s="41"/>
      <c r="I20" s="43"/>
      <c r="J20" s="44"/>
      <c r="K20" s="57" t="str">
        <f>IF(J20&lt;&gt;"",IF(VLOOKUP(J20,Taxons!A:C,2,FALSE)=0,"",VLOOKUP(J20,Taxons!A:C,2,FALSE)),"")</f>
        <v/>
      </c>
      <c r="L20" s="57" t="str">
        <f>IF(J20&lt;&gt;"",VLOOKUP(J20,Taxons!A:C,3,FALSE),"")</f>
        <v/>
      </c>
      <c r="M20" s="46"/>
      <c r="N20" s="44"/>
      <c r="O20" s="45"/>
      <c r="P20" s="45"/>
      <c r="Q20" s="45"/>
      <c r="R20" s="45"/>
      <c r="S20" s="44"/>
      <c r="T20" s="44"/>
      <c r="U20" s="45"/>
      <c r="V20" s="45"/>
      <c r="W20" s="45"/>
      <c r="X20" s="45"/>
      <c r="Y20" s="45"/>
      <c r="Z20" s="44"/>
      <c r="AA20" s="44"/>
      <c r="AB20" s="44"/>
      <c r="AC20" s="45"/>
      <c r="AD20" s="47"/>
      <c r="AE20" s="47"/>
      <c r="AF20" s="48"/>
      <c r="AG20" s="49"/>
    </row>
    <row r="21" spans="1:33" x14ac:dyDescent="0.25">
      <c r="A21" s="40"/>
      <c r="B21" s="41"/>
      <c r="C21" s="42"/>
      <c r="D21" s="41"/>
      <c r="E21" s="41"/>
      <c r="F21" s="41"/>
      <c r="G21" s="41"/>
      <c r="H21" s="41"/>
      <c r="I21" s="43"/>
      <c r="J21" s="44"/>
      <c r="K21" s="57" t="str">
        <f>IF(J21&lt;&gt;"",IF(VLOOKUP(J21,Taxons!A:C,2,FALSE)=0,"",VLOOKUP(J21,Taxons!A:C,2,FALSE)),"")</f>
        <v/>
      </c>
      <c r="L21" s="57" t="str">
        <f>IF(J21&lt;&gt;"",VLOOKUP(J21,Taxons!A:C,3,FALSE),"")</f>
        <v/>
      </c>
      <c r="M21" s="46"/>
      <c r="N21" s="44"/>
      <c r="O21" s="45"/>
      <c r="P21" s="45"/>
      <c r="Q21" s="45"/>
      <c r="R21" s="45"/>
      <c r="S21" s="44"/>
      <c r="T21" s="44"/>
      <c r="U21" s="45"/>
      <c r="V21" s="45"/>
      <c r="W21" s="45"/>
      <c r="X21" s="45"/>
      <c r="Y21" s="45"/>
      <c r="Z21" s="44"/>
      <c r="AA21" s="44"/>
      <c r="AB21" s="44"/>
      <c r="AC21" s="45"/>
      <c r="AD21" s="47"/>
      <c r="AE21" s="47"/>
      <c r="AF21" s="48"/>
      <c r="AG21" s="49"/>
    </row>
    <row r="22" spans="1:33" x14ac:dyDescent="0.25">
      <c r="A22" s="40"/>
      <c r="B22" s="41"/>
      <c r="C22" s="42"/>
      <c r="D22" s="41"/>
      <c r="E22" s="41"/>
      <c r="F22" s="41"/>
      <c r="G22" s="41"/>
      <c r="H22" s="41"/>
      <c r="I22" s="43"/>
      <c r="J22" s="44"/>
      <c r="K22" s="57" t="str">
        <f>IF(J22&lt;&gt;"",IF(VLOOKUP(J22,Taxons!A:C,2,FALSE)=0,"",VLOOKUP(J22,Taxons!A:C,2,FALSE)),"")</f>
        <v/>
      </c>
      <c r="L22" s="57" t="str">
        <f>IF(J22&lt;&gt;"",VLOOKUP(J22,Taxons!A:C,3,FALSE),"")</f>
        <v/>
      </c>
      <c r="M22" s="46"/>
      <c r="N22" s="44"/>
      <c r="O22" s="45"/>
      <c r="P22" s="45"/>
      <c r="Q22" s="45"/>
      <c r="R22" s="45"/>
      <c r="S22" s="44"/>
      <c r="T22" s="44"/>
      <c r="U22" s="45"/>
      <c r="V22" s="45"/>
      <c r="W22" s="45"/>
      <c r="X22" s="45"/>
      <c r="Y22" s="45"/>
      <c r="Z22" s="44"/>
      <c r="AA22" s="44"/>
      <c r="AB22" s="44"/>
      <c r="AC22" s="45"/>
      <c r="AD22" s="47"/>
      <c r="AE22" s="47"/>
      <c r="AF22" s="48"/>
      <c r="AG22" s="49"/>
    </row>
    <row r="23" spans="1:33" x14ac:dyDescent="0.25">
      <c r="A23" s="40"/>
      <c r="B23" s="41"/>
      <c r="C23" s="42"/>
      <c r="D23" s="41"/>
      <c r="E23" s="41"/>
      <c r="F23" s="41"/>
      <c r="G23" s="41"/>
      <c r="H23" s="41"/>
      <c r="I23" s="43"/>
      <c r="J23" s="44"/>
      <c r="K23" s="57" t="str">
        <f>IF(J23&lt;&gt;"",IF(VLOOKUP(J23,Taxons!A:C,2,FALSE)=0,"",VLOOKUP(J23,Taxons!A:C,2,FALSE)),"")</f>
        <v/>
      </c>
      <c r="L23" s="57" t="str">
        <f>IF(J23&lt;&gt;"",VLOOKUP(J23,Taxons!A:C,3,FALSE),"")</f>
        <v/>
      </c>
      <c r="M23" s="46"/>
      <c r="N23" s="44"/>
      <c r="O23" s="45"/>
      <c r="P23" s="45"/>
      <c r="Q23" s="45"/>
      <c r="R23" s="45"/>
      <c r="S23" s="44"/>
      <c r="T23" s="44"/>
      <c r="U23" s="45"/>
      <c r="V23" s="45"/>
      <c r="W23" s="45"/>
      <c r="X23" s="45"/>
      <c r="Y23" s="45"/>
      <c r="Z23" s="44"/>
      <c r="AA23" s="44"/>
      <c r="AB23" s="44"/>
      <c r="AC23" s="45"/>
      <c r="AD23" s="47"/>
      <c r="AE23" s="47"/>
      <c r="AF23" s="48"/>
      <c r="AG23" s="49"/>
    </row>
    <row r="24" spans="1:33" x14ac:dyDescent="0.25">
      <c r="A24" s="40"/>
      <c r="B24" s="41"/>
      <c r="C24" s="42"/>
      <c r="D24" s="41"/>
      <c r="E24" s="41"/>
      <c r="F24" s="41"/>
      <c r="G24" s="41"/>
      <c r="H24" s="41"/>
      <c r="I24" s="43"/>
      <c r="J24" s="44"/>
      <c r="K24" s="57" t="str">
        <f>IF(J24&lt;&gt;"",IF(VLOOKUP(J24,Taxons!A:C,2,FALSE)=0,"",VLOOKUP(J24,Taxons!A:C,2,FALSE)),"")</f>
        <v/>
      </c>
      <c r="L24" s="57" t="str">
        <f>IF(J24&lt;&gt;"",VLOOKUP(J24,Taxons!A:C,3,FALSE),"")</f>
        <v/>
      </c>
      <c r="M24" s="46"/>
      <c r="N24" s="44"/>
      <c r="O24" s="45"/>
      <c r="P24" s="45"/>
      <c r="Q24" s="45"/>
      <c r="R24" s="45"/>
      <c r="S24" s="44"/>
      <c r="T24" s="44"/>
      <c r="U24" s="45"/>
      <c r="V24" s="45"/>
      <c r="W24" s="45"/>
      <c r="X24" s="45"/>
      <c r="Y24" s="45"/>
      <c r="Z24" s="44"/>
      <c r="AA24" s="44"/>
      <c r="AB24" s="44"/>
      <c r="AC24" s="45"/>
      <c r="AD24" s="47"/>
      <c r="AE24" s="47"/>
      <c r="AF24" s="48"/>
      <c r="AG24" s="49"/>
    </row>
    <row r="25" spans="1:33" x14ac:dyDescent="0.25">
      <c r="A25" s="40"/>
      <c r="B25" s="41"/>
      <c r="C25" s="42"/>
      <c r="D25" s="41"/>
      <c r="E25" s="41"/>
      <c r="F25" s="41"/>
      <c r="G25" s="41"/>
      <c r="H25" s="41"/>
      <c r="I25" s="43"/>
      <c r="J25" s="44"/>
      <c r="K25" s="57" t="str">
        <f>IF(J25&lt;&gt;"",IF(VLOOKUP(J25,Taxons!A:C,2,FALSE)=0,"",VLOOKUP(J25,Taxons!A:C,2,FALSE)),"")</f>
        <v/>
      </c>
      <c r="L25" s="57" t="str">
        <f>IF(J25&lt;&gt;"",VLOOKUP(J25,Taxons!A:C,3,FALSE),"")</f>
        <v/>
      </c>
      <c r="M25" s="46"/>
      <c r="N25" s="44"/>
      <c r="O25" s="45"/>
      <c r="P25" s="45"/>
      <c r="Q25" s="45"/>
      <c r="R25" s="45"/>
      <c r="S25" s="44"/>
      <c r="T25" s="44"/>
      <c r="U25" s="45"/>
      <c r="V25" s="45"/>
      <c r="W25" s="45"/>
      <c r="X25" s="45"/>
      <c r="Y25" s="45"/>
      <c r="Z25" s="44"/>
      <c r="AA25" s="44"/>
      <c r="AB25" s="44"/>
      <c r="AC25" s="45"/>
      <c r="AD25" s="47"/>
      <c r="AE25" s="47"/>
      <c r="AF25" s="48"/>
      <c r="AG25" s="49"/>
    </row>
    <row r="26" spans="1:33" x14ac:dyDescent="0.25">
      <c r="A26" s="40"/>
      <c r="B26" s="41"/>
      <c r="C26" s="42"/>
      <c r="D26" s="41"/>
      <c r="E26" s="41"/>
      <c r="F26" s="41"/>
      <c r="G26" s="41"/>
      <c r="H26" s="41"/>
      <c r="I26" s="43"/>
      <c r="J26" s="44"/>
      <c r="K26" s="57" t="str">
        <f>IF(J26&lt;&gt;"",IF(VLOOKUP(J26,Taxons!A:C,2,FALSE)=0,"",VLOOKUP(J26,Taxons!A:C,2,FALSE)),"")</f>
        <v/>
      </c>
      <c r="L26" s="57" t="str">
        <f>IF(J26&lt;&gt;"",VLOOKUP(J26,Taxons!A:C,3,FALSE),"")</f>
        <v/>
      </c>
      <c r="M26" s="46"/>
      <c r="N26" s="44"/>
      <c r="O26" s="45"/>
      <c r="P26" s="45"/>
      <c r="Q26" s="45"/>
      <c r="R26" s="45"/>
      <c r="S26" s="44"/>
      <c r="T26" s="44"/>
      <c r="U26" s="45"/>
      <c r="V26" s="45"/>
      <c r="W26" s="45"/>
      <c r="X26" s="45"/>
      <c r="Y26" s="45"/>
      <c r="Z26" s="44"/>
      <c r="AA26" s="44"/>
      <c r="AB26" s="44"/>
      <c r="AC26" s="45"/>
      <c r="AD26" s="47"/>
      <c r="AE26" s="47"/>
      <c r="AF26" s="48"/>
      <c r="AG26" s="49"/>
    </row>
    <row r="27" spans="1:33" x14ac:dyDescent="0.25">
      <c r="A27" s="40"/>
      <c r="B27" s="41"/>
      <c r="C27" s="42"/>
      <c r="D27" s="41"/>
      <c r="E27" s="41"/>
      <c r="F27" s="41"/>
      <c r="G27" s="41"/>
      <c r="H27" s="41"/>
      <c r="I27" s="43"/>
      <c r="J27" s="44"/>
      <c r="K27" s="57" t="str">
        <f>IF(J27&lt;&gt;"",IF(VLOOKUP(J27,Taxons!A:C,2,FALSE)=0,"",VLOOKUP(J27,Taxons!A:C,2,FALSE)),"")</f>
        <v/>
      </c>
      <c r="L27" s="57" t="str">
        <f>IF(J27&lt;&gt;"",VLOOKUP(J27,Taxons!A:C,3,FALSE),"")</f>
        <v/>
      </c>
      <c r="M27" s="46"/>
      <c r="N27" s="44"/>
      <c r="O27" s="45"/>
      <c r="P27" s="45"/>
      <c r="Q27" s="45"/>
      <c r="R27" s="45"/>
      <c r="S27" s="44"/>
      <c r="T27" s="44"/>
      <c r="U27" s="45"/>
      <c r="V27" s="45"/>
      <c r="W27" s="45"/>
      <c r="X27" s="45"/>
      <c r="Y27" s="45"/>
      <c r="Z27" s="44"/>
      <c r="AA27" s="44"/>
      <c r="AB27" s="44"/>
      <c r="AC27" s="45"/>
      <c r="AD27" s="47"/>
      <c r="AE27" s="47"/>
      <c r="AF27" s="48"/>
      <c r="AG27" s="49"/>
    </row>
    <row r="28" spans="1:33" x14ac:dyDescent="0.25">
      <c r="A28" s="40"/>
      <c r="B28" s="41"/>
      <c r="C28" s="42"/>
      <c r="D28" s="41"/>
      <c r="E28" s="41"/>
      <c r="F28" s="41"/>
      <c r="G28" s="41"/>
      <c r="H28" s="41"/>
      <c r="I28" s="43"/>
      <c r="J28" s="44"/>
      <c r="K28" s="57" t="str">
        <f>IF(J28&lt;&gt;"",IF(VLOOKUP(J28,Taxons!A:C,2,FALSE)=0,"",VLOOKUP(J28,Taxons!A:C,2,FALSE)),"")</f>
        <v/>
      </c>
      <c r="L28" s="57" t="str">
        <f>IF(J28&lt;&gt;"",VLOOKUP(J28,Taxons!A:C,3,FALSE),"")</f>
        <v/>
      </c>
      <c r="M28" s="46"/>
      <c r="N28" s="44"/>
      <c r="O28" s="45"/>
      <c r="P28" s="45"/>
      <c r="Q28" s="45"/>
      <c r="R28" s="45"/>
      <c r="S28" s="44"/>
      <c r="T28" s="44"/>
      <c r="U28" s="45"/>
      <c r="V28" s="45"/>
      <c r="W28" s="45"/>
      <c r="X28" s="45"/>
      <c r="Y28" s="45"/>
      <c r="Z28" s="44"/>
      <c r="AA28" s="44"/>
      <c r="AB28" s="44"/>
      <c r="AC28" s="45"/>
      <c r="AD28" s="47"/>
      <c r="AE28" s="47"/>
      <c r="AF28" s="48"/>
      <c r="AG28" s="49"/>
    </row>
    <row r="29" spans="1:33" x14ac:dyDescent="0.25">
      <c r="A29" s="40"/>
      <c r="B29" s="41"/>
      <c r="C29" s="42"/>
      <c r="D29" s="41"/>
      <c r="E29" s="41"/>
      <c r="F29" s="41"/>
      <c r="G29" s="41"/>
      <c r="H29" s="41"/>
      <c r="I29" s="43"/>
      <c r="J29" s="44"/>
      <c r="K29" s="57" t="str">
        <f>IF(J29&lt;&gt;"",IF(VLOOKUP(J29,Taxons!A:C,2,FALSE)=0,"",VLOOKUP(J29,Taxons!A:C,2,FALSE)),"")</f>
        <v/>
      </c>
      <c r="L29" s="57" t="str">
        <f>IF(J29&lt;&gt;"",VLOOKUP(J29,Taxons!A:C,3,FALSE),"")</f>
        <v/>
      </c>
      <c r="M29" s="46"/>
      <c r="N29" s="44"/>
      <c r="O29" s="45"/>
      <c r="P29" s="45"/>
      <c r="Q29" s="45"/>
      <c r="R29" s="45"/>
      <c r="S29" s="44"/>
      <c r="T29" s="44"/>
      <c r="U29" s="45"/>
      <c r="V29" s="45"/>
      <c r="W29" s="45"/>
      <c r="X29" s="45"/>
      <c r="Y29" s="45"/>
      <c r="Z29" s="44"/>
      <c r="AA29" s="44"/>
      <c r="AB29" s="44"/>
      <c r="AC29" s="45"/>
      <c r="AD29" s="47"/>
      <c r="AE29" s="47"/>
      <c r="AF29" s="48"/>
      <c r="AG29" s="49"/>
    </row>
    <row r="30" spans="1:33" x14ac:dyDescent="0.25">
      <c r="A30" s="40"/>
      <c r="B30" s="41"/>
      <c r="C30" s="42"/>
      <c r="D30" s="41"/>
      <c r="E30" s="41"/>
      <c r="F30" s="41"/>
      <c r="G30" s="41"/>
      <c r="H30" s="41"/>
      <c r="I30" s="43"/>
      <c r="J30" s="44"/>
      <c r="K30" s="57" t="str">
        <f>IF(J30&lt;&gt;"",IF(VLOOKUP(J30,Taxons!A:C,2,FALSE)=0,"",VLOOKUP(J30,Taxons!A:C,2,FALSE)),"")</f>
        <v/>
      </c>
      <c r="L30" s="57" t="str">
        <f>IF(J30&lt;&gt;"",VLOOKUP(J30,Taxons!A:C,3,FALSE),"")</f>
        <v/>
      </c>
      <c r="M30" s="46"/>
      <c r="N30" s="44"/>
      <c r="O30" s="45"/>
      <c r="P30" s="45"/>
      <c r="Q30" s="45"/>
      <c r="R30" s="45"/>
      <c r="S30" s="44"/>
      <c r="T30" s="44"/>
      <c r="U30" s="45"/>
      <c r="V30" s="45"/>
      <c r="W30" s="45"/>
      <c r="X30" s="45"/>
      <c r="Y30" s="45"/>
      <c r="Z30" s="44"/>
      <c r="AA30" s="44"/>
      <c r="AB30" s="44"/>
      <c r="AC30" s="45"/>
      <c r="AD30" s="47"/>
      <c r="AE30" s="47"/>
      <c r="AF30" s="48"/>
      <c r="AG30" s="49"/>
    </row>
    <row r="31" spans="1:33" x14ac:dyDescent="0.25">
      <c r="A31" s="40"/>
      <c r="B31" s="41"/>
      <c r="C31" s="42"/>
      <c r="D31" s="41"/>
      <c r="E31" s="41"/>
      <c r="F31" s="41"/>
      <c r="G31" s="41"/>
      <c r="H31" s="41"/>
      <c r="I31" s="43"/>
      <c r="J31" s="44"/>
      <c r="K31" s="57" t="str">
        <f>IF(J31&lt;&gt;"",IF(VLOOKUP(J31,Taxons!A:C,2,FALSE)=0,"",VLOOKUP(J31,Taxons!A:C,2,FALSE)),"")</f>
        <v/>
      </c>
      <c r="L31" s="57" t="str">
        <f>IF(J31&lt;&gt;"",VLOOKUP(J31,Taxons!A:C,3,FALSE),"")</f>
        <v/>
      </c>
      <c r="M31" s="46"/>
      <c r="N31" s="44"/>
      <c r="O31" s="45"/>
      <c r="P31" s="45"/>
      <c r="Q31" s="45"/>
      <c r="R31" s="45"/>
      <c r="S31" s="44"/>
      <c r="T31" s="44"/>
      <c r="U31" s="45"/>
      <c r="V31" s="45"/>
      <c r="W31" s="45"/>
      <c r="X31" s="45"/>
      <c r="Y31" s="45"/>
      <c r="Z31" s="44"/>
      <c r="AA31" s="44"/>
      <c r="AB31" s="44"/>
      <c r="AC31" s="45"/>
      <c r="AD31" s="47"/>
      <c r="AE31" s="47"/>
      <c r="AF31" s="48"/>
      <c r="AG31" s="49"/>
    </row>
    <row r="32" spans="1:33" x14ac:dyDescent="0.25">
      <c r="A32" s="40"/>
      <c r="B32" s="41"/>
      <c r="C32" s="42"/>
      <c r="D32" s="41"/>
      <c r="E32" s="41"/>
      <c r="F32" s="41"/>
      <c r="G32" s="41"/>
      <c r="H32" s="41"/>
      <c r="I32" s="43"/>
      <c r="J32" s="44"/>
      <c r="K32" s="57" t="str">
        <f>IF(J32&lt;&gt;"",IF(VLOOKUP(J32,Taxons!A:C,2,FALSE)=0,"",VLOOKUP(J32,Taxons!A:C,2,FALSE)),"")</f>
        <v/>
      </c>
      <c r="L32" s="57" t="str">
        <f>IF(J32&lt;&gt;"",VLOOKUP(J32,Taxons!A:C,3,FALSE),"")</f>
        <v/>
      </c>
      <c r="M32" s="46"/>
      <c r="N32" s="44"/>
      <c r="O32" s="45"/>
      <c r="P32" s="45"/>
      <c r="Q32" s="45"/>
      <c r="R32" s="45"/>
      <c r="S32" s="44"/>
      <c r="T32" s="44"/>
      <c r="U32" s="45"/>
      <c r="V32" s="45"/>
      <c r="W32" s="45"/>
      <c r="X32" s="45"/>
      <c r="Y32" s="45"/>
      <c r="Z32" s="44"/>
      <c r="AA32" s="44"/>
      <c r="AB32" s="44"/>
      <c r="AC32" s="45"/>
      <c r="AD32" s="47"/>
      <c r="AE32" s="47"/>
      <c r="AF32" s="48"/>
      <c r="AG32" s="49"/>
    </row>
    <row r="33" spans="1:33" x14ac:dyDescent="0.25">
      <c r="A33" s="40"/>
      <c r="B33" s="41"/>
      <c r="C33" s="42"/>
      <c r="D33" s="41"/>
      <c r="E33" s="41"/>
      <c r="F33" s="41"/>
      <c r="G33" s="41"/>
      <c r="H33" s="41"/>
      <c r="I33" s="43"/>
      <c r="J33" s="44"/>
      <c r="K33" s="57" t="str">
        <f>IF(J33&lt;&gt;"",IF(VLOOKUP(J33,Taxons!A:C,2,FALSE)=0,"",VLOOKUP(J33,Taxons!A:C,2,FALSE)),"")</f>
        <v/>
      </c>
      <c r="L33" s="57" t="str">
        <f>IF(J33&lt;&gt;"",VLOOKUP(J33,Taxons!A:C,3,FALSE),"")</f>
        <v/>
      </c>
      <c r="M33" s="46"/>
      <c r="N33" s="44"/>
      <c r="O33" s="45"/>
      <c r="P33" s="45"/>
      <c r="Q33" s="45"/>
      <c r="R33" s="45"/>
      <c r="S33" s="44"/>
      <c r="T33" s="44"/>
      <c r="U33" s="45"/>
      <c r="V33" s="45"/>
      <c r="W33" s="45"/>
      <c r="X33" s="45"/>
      <c r="Y33" s="45"/>
      <c r="Z33" s="44"/>
      <c r="AA33" s="44"/>
      <c r="AB33" s="44"/>
      <c r="AC33" s="45"/>
      <c r="AD33" s="47"/>
      <c r="AE33" s="47"/>
      <c r="AF33" s="48"/>
      <c r="AG33" s="49"/>
    </row>
    <row r="34" spans="1:33" x14ac:dyDescent="0.25">
      <c r="A34" s="40"/>
      <c r="B34" s="41"/>
      <c r="C34" s="42"/>
      <c r="D34" s="41"/>
      <c r="E34" s="41"/>
      <c r="F34" s="41"/>
      <c r="G34" s="41"/>
      <c r="H34" s="41"/>
      <c r="I34" s="43"/>
      <c r="J34" s="44"/>
      <c r="K34" s="57" t="str">
        <f>IF(J34&lt;&gt;"",IF(VLOOKUP(J34,Taxons!A:C,2,FALSE)=0,"",VLOOKUP(J34,Taxons!A:C,2,FALSE)),"")</f>
        <v/>
      </c>
      <c r="L34" s="57" t="str">
        <f>IF(J34&lt;&gt;"",VLOOKUP(J34,Taxons!A:C,3,FALSE),"")</f>
        <v/>
      </c>
      <c r="M34" s="46"/>
      <c r="N34" s="44"/>
      <c r="O34" s="45"/>
      <c r="P34" s="45"/>
      <c r="Q34" s="45"/>
      <c r="R34" s="45"/>
      <c r="S34" s="44"/>
      <c r="T34" s="44"/>
      <c r="U34" s="45"/>
      <c r="V34" s="45"/>
      <c r="W34" s="45"/>
      <c r="X34" s="45"/>
      <c r="Y34" s="45"/>
      <c r="Z34" s="44"/>
      <c r="AA34" s="44"/>
      <c r="AB34" s="44"/>
      <c r="AC34" s="45"/>
      <c r="AD34" s="47"/>
      <c r="AE34" s="47"/>
      <c r="AF34" s="48"/>
      <c r="AG34" s="49"/>
    </row>
    <row r="35" spans="1:33" x14ac:dyDescent="0.25">
      <c r="A35" s="40"/>
      <c r="B35" s="41"/>
      <c r="C35" s="42"/>
      <c r="D35" s="41"/>
      <c r="E35" s="41"/>
      <c r="F35" s="41"/>
      <c r="G35" s="41"/>
      <c r="H35" s="41"/>
      <c r="I35" s="43"/>
      <c r="J35" s="44"/>
      <c r="K35" s="57" t="str">
        <f>IF(J35&lt;&gt;"",IF(VLOOKUP(J35,Taxons!A:C,2,FALSE)=0,"",VLOOKUP(J35,Taxons!A:C,2,FALSE)),"")</f>
        <v/>
      </c>
      <c r="L35" s="57" t="str">
        <f>IF(J35&lt;&gt;"",VLOOKUP(J35,Taxons!A:C,3,FALSE),"")</f>
        <v/>
      </c>
      <c r="M35" s="46"/>
      <c r="N35" s="44"/>
      <c r="O35" s="45"/>
      <c r="P35" s="45"/>
      <c r="Q35" s="45"/>
      <c r="R35" s="45"/>
      <c r="S35" s="44"/>
      <c r="T35" s="44"/>
      <c r="U35" s="45"/>
      <c r="V35" s="45"/>
      <c r="W35" s="45"/>
      <c r="X35" s="45"/>
      <c r="Y35" s="45"/>
      <c r="Z35" s="44"/>
      <c r="AA35" s="44"/>
      <c r="AB35" s="44"/>
      <c r="AC35" s="45"/>
      <c r="AD35" s="47"/>
      <c r="AE35" s="47"/>
      <c r="AF35" s="48"/>
      <c r="AG35" s="49"/>
    </row>
    <row r="36" spans="1:33" x14ac:dyDescent="0.25">
      <c r="A36" s="40"/>
      <c r="B36" s="41"/>
      <c r="C36" s="42"/>
      <c r="D36" s="41"/>
      <c r="E36" s="41"/>
      <c r="F36" s="41"/>
      <c r="G36" s="41"/>
      <c r="H36" s="41"/>
      <c r="I36" s="43"/>
      <c r="J36" s="44"/>
      <c r="K36" s="57" t="str">
        <f>IF(J36&lt;&gt;"",IF(VLOOKUP(J36,Taxons!A:C,2,FALSE)=0,"",VLOOKUP(J36,Taxons!A:C,2,FALSE)),"")</f>
        <v/>
      </c>
      <c r="L36" s="57" t="str">
        <f>IF(J36&lt;&gt;"",VLOOKUP(J36,Taxons!A:C,3,FALSE),"")</f>
        <v/>
      </c>
      <c r="M36" s="46"/>
      <c r="N36" s="44"/>
      <c r="O36" s="45"/>
      <c r="P36" s="45"/>
      <c r="Q36" s="45"/>
      <c r="R36" s="45"/>
      <c r="S36" s="44"/>
      <c r="T36" s="44"/>
      <c r="U36" s="45"/>
      <c r="V36" s="45"/>
      <c r="W36" s="45"/>
      <c r="X36" s="45"/>
      <c r="Y36" s="45"/>
      <c r="Z36" s="44"/>
      <c r="AA36" s="44"/>
      <c r="AB36" s="44"/>
      <c r="AC36" s="45"/>
      <c r="AD36" s="47"/>
      <c r="AE36" s="47"/>
      <c r="AF36" s="48"/>
      <c r="AG36" s="49"/>
    </row>
    <row r="37" spans="1:33" x14ac:dyDescent="0.25">
      <c r="A37" s="40"/>
      <c r="B37" s="41"/>
      <c r="C37" s="42"/>
      <c r="D37" s="41"/>
      <c r="E37" s="41"/>
      <c r="F37" s="41"/>
      <c r="G37" s="41"/>
      <c r="H37" s="41"/>
      <c r="I37" s="43"/>
      <c r="J37" s="44"/>
      <c r="K37" s="57" t="str">
        <f>IF(J37&lt;&gt;"",IF(VLOOKUP(J37,Taxons!A:C,2,FALSE)=0,"",VLOOKUP(J37,Taxons!A:C,2,FALSE)),"")</f>
        <v/>
      </c>
      <c r="L37" s="57" t="str">
        <f>IF(J37&lt;&gt;"",VLOOKUP(J37,Taxons!A:C,3,FALSE),"")</f>
        <v/>
      </c>
      <c r="M37" s="46"/>
      <c r="N37" s="44"/>
      <c r="O37" s="45"/>
      <c r="P37" s="45"/>
      <c r="Q37" s="45"/>
      <c r="R37" s="45"/>
      <c r="S37" s="44"/>
      <c r="T37" s="44"/>
      <c r="U37" s="45"/>
      <c r="V37" s="45"/>
      <c r="W37" s="45"/>
      <c r="X37" s="45"/>
      <c r="Y37" s="45"/>
      <c r="Z37" s="44"/>
      <c r="AA37" s="44"/>
      <c r="AB37" s="44"/>
      <c r="AC37" s="45"/>
      <c r="AD37" s="47"/>
      <c r="AE37" s="47"/>
      <c r="AF37" s="48"/>
      <c r="AG37" s="49"/>
    </row>
    <row r="38" spans="1:33" x14ac:dyDescent="0.25">
      <c r="A38" s="40"/>
      <c r="B38" s="41"/>
      <c r="C38" s="42"/>
      <c r="D38" s="41"/>
      <c r="E38" s="41"/>
      <c r="F38" s="41"/>
      <c r="G38" s="41"/>
      <c r="H38" s="41"/>
      <c r="I38" s="43"/>
      <c r="J38" s="44"/>
      <c r="K38" s="57" t="str">
        <f>IF(J38&lt;&gt;"",IF(VLOOKUP(J38,Taxons!A:C,2,FALSE)=0,"",VLOOKUP(J38,Taxons!A:C,2,FALSE)),"")</f>
        <v/>
      </c>
      <c r="L38" s="57" t="str">
        <f>IF(J38&lt;&gt;"",VLOOKUP(J38,Taxons!A:C,3,FALSE),"")</f>
        <v/>
      </c>
      <c r="M38" s="46"/>
      <c r="N38" s="44"/>
      <c r="O38" s="45"/>
      <c r="P38" s="45"/>
      <c r="Q38" s="45"/>
      <c r="R38" s="45"/>
      <c r="S38" s="44"/>
      <c r="T38" s="44"/>
      <c r="U38" s="45"/>
      <c r="V38" s="45"/>
      <c r="W38" s="45"/>
      <c r="X38" s="45"/>
      <c r="Y38" s="45"/>
      <c r="Z38" s="44"/>
      <c r="AA38" s="44"/>
      <c r="AB38" s="44"/>
      <c r="AC38" s="45"/>
      <c r="AD38" s="47"/>
      <c r="AE38" s="47"/>
      <c r="AF38" s="48"/>
      <c r="AG38" s="49"/>
    </row>
    <row r="39" spans="1:33" x14ac:dyDescent="0.25">
      <c r="A39" s="40"/>
      <c r="B39" s="41"/>
      <c r="C39" s="42"/>
      <c r="D39" s="41"/>
      <c r="E39" s="41"/>
      <c r="F39" s="41"/>
      <c r="G39" s="41"/>
      <c r="H39" s="41"/>
      <c r="I39" s="43"/>
      <c r="J39" s="44"/>
      <c r="K39" s="57" t="str">
        <f>IF(J39&lt;&gt;"",IF(VLOOKUP(J39,Taxons!A:C,2,FALSE)=0,"",VLOOKUP(J39,Taxons!A:C,2,FALSE)),"")</f>
        <v/>
      </c>
      <c r="L39" s="57" t="str">
        <f>IF(J39&lt;&gt;"",VLOOKUP(J39,Taxons!A:C,3,FALSE),"")</f>
        <v/>
      </c>
      <c r="M39" s="46"/>
      <c r="N39" s="44"/>
      <c r="O39" s="45"/>
      <c r="P39" s="45"/>
      <c r="Q39" s="45"/>
      <c r="R39" s="45"/>
      <c r="S39" s="44"/>
      <c r="T39" s="44"/>
      <c r="U39" s="45"/>
      <c r="V39" s="45"/>
      <c r="W39" s="45"/>
      <c r="X39" s="45"/>
      <c r="Y39" s="45"/>
      <c r="Z39" s="44"/>
      <c r="AA39" s="44"/>
      <c r="AB39" s="44"/>
      <c r="AC39" s="45"/>
      <c r="AD39" s="47"/>
      <c r="AE39" s="47"/>
      <c r="AF39" s="48"/>
      <c r="AG39" s="49"/>
    </row>
    <row r="40" spans="1:33" x14ac:dyDescent="0.25">
      <c r="A40" s="40"/>
      <c r="B40" s="41"/>
      <c r="C40" s="42"/>
      <c r="D40" s="41"/>
      <c r="E40" s="41"/>
      <c r="F40" s="41"/>
      <c r="G40" s="41"/>
      <c r="H40" s="41"/>
      <c r="I40" s="43"/>
      <c r="J40" s="44"/>
      <c r="K40" s="57" t="str">
        <f>IF(J40&lt;&gt;"",IF(VLOOKUP(J40,Taxons!A:C,2,FALSE)=0,"",VLOOKUP(J40,Taxons!A:C,2,FALSE)),"")</f>
        <v/>
      </c>
      <c r="L40" s="57" t="str">
        <f>IF(J40&lt;&gt;"",VLOOKUP(J40,Taxons!A:C,3,FALSE),"")</f>
        <v/>
      </c>
      <c r="M40" s="46"/>
      <c r="N40" s="44"/>
      <c r="O40" s="45"/>
      <c r="P40" s="45"/>
      <c r="Q40" s="45"/>
      <c r="R40" s="45"/>
      <c r="S40" s="44"/>
      <c r="T40" s="44"/>
      <c r="U40" s="45"/>
      <c r="V40" s="45"/>
      <c r="W40" s="45"/>
      <c r="X40" s="45"/>
      <c r="Y40" s="45"/>
      <c r="Z40" s="44"/>
      <c r="AA40" s="44"/>
      <c r="AB40" s="44"/>
      <c r="AC40" s="45"/>
      <c r="AD40" s="47"/>
      <c r="AE40" s="47"/>
      <c r="AF40" s="48"/>
      <c r="AG40" s="49"/>
    </row>
    <row r="41" spans="1:33" x14ac:dyDescent="0.25">
      <c r="A41" s="40"/>
      <c r="B41" s="41"/>
      <c r="C41" s="42"/>
      <c r="D41" s="41"/>
      <c r="E41" s="41"/>
      <c r="F41" s="41"/>
      <c r="G41" s="41"/>
      <c r="H41" s="41"/>
      <c r="I41" s="43"/>
      <c r="J41" s="44"/>
      <c r="K41" s="57" t="str">
        <f>IF(J41&lt;&gt;"",IF(VLOOKUP(J41,Taxons!A:C,2,FALSE)=0,"",VLOOKUP(J41,Taxons!A:C,2,FALSE)),"")</f>
        <v/>
      </c>
      <c r="L41" s="57" t="str">
        <f>IF(J41&lt;&gt;"",VLOOKUP(J41,Taxons!A:C,3,FALSE),"")</f>
        <v/>
      </c>
      <c r="M41" s="46"/>
      <c r="N41" s="44"/>
      <c r="O41" s="45"/>
      <c r="P41" s="45"/>
      <c r="Q41" s="45"/>
      <c r="R41" s="45"/>
      <c r="S41" s="44"/>
      <c r="T41" s="44"/>
      <c r="U41" s="45"/>
      <c r="V41" s="45"/>
      <c r="W41" s="45"/>
      <c r="X41" s="45"/>
      <c r="Y41" s="45"/>
      <c r="Z41" s="44"/>
      <c r="AA41" s="44"/>
      <c r="AB41" s="44"/>
      <c r="AC41" s="45"/>
      <c r="AD41" s="47"/>
      <c r="AE41" s="47"/>
      <c r="AF41" s="48"/>
      <c r="AG41" s="49"/>
    </row>
    <row r="42" spans="1:33" x14ac:dyDescent="0.25">
      <c r="A42" s="40"/>
      <c r="B42" s="41"/>
      <c r="C42" s="42"/>
      <c r="D42" s="41"/>
      <c r="E42" s="41"/>
      <c r="F42" s="41"/>
      <c r="G42" s="41"/>
      <c r="H42" s="41"/>
      <c r="I42" s="43"/>
      <c r="J42" s="44"/>
      <c r="K42" s="57" t="str">
        <f>IF(J42&lt;&gt;"",IF(VLOOKUP(J42,Taxons!A:C,2,FALSE)=0,"",VLOOKUP(J42,Taxons!A:C,2,FALSE)),"")</f>
        <v/>
      </c>
      <c r="L42" s="57" t="str">
        <f>IF(J42&lt;&gt;"",VLOOKUP(J42,Taxons!A:C,3,FALSE),"")</f>
        <v/>
      </c>
      <c r="M42" s="46"/>
      <c r="N42" s="44"/>
      <c r="O42" s="45"/>
      <c r="P42" s="45"/>
      <c r="Q42" s="45"/>
      <c r="R42" s="45"/>
      <c r="S42" s="44"/>
      <c r="T42" s="44"/>
      <c r="U42" s="45"/>
      <c r="V42" s="45"/>
      <c r="W42" s="45"/>
      <c r="X42" s="45"/>
      <c r="Y42" s="45"/>
      <c r="Z42" s="44"/>
      <c r="AA42" s="44"/>
      <c r="AB42" s="44"/>
      <c r="AC42" s="45"/>
      <c r="AD42" s="47"/>
      <c r="AE42" s="47"/>
      <c r="AF42" s="48"/>
      <c r="AG42" s="49"/>
    </row>
    <row r="43" spans="1:33" x14ac:dyDescent="0.25">
      <c r="A43" s="40"/>
      <c r="B43" s="41"/>
      <c r="C43" s="42"/>
      <c r="D43" s="41"/>
      <c r="E43" s="41"/>
      <c r="F43" s="41"/>
      <c r="G43" s="41"/>
      <c r="H43" s="41"/>
      <c r="I43" s="43"/>
      <c r="J43" s="44"/>
      <c r="K43" s="57" t="str">
        <f>IF(J43&lt;&gt;"",IF(VLOOKUP(J43,Taxons!A:C,2,FALSE)=0,"",VLOOKUP(J43,Taxons!A:C,2,FALSE)),"")</f>
        <v/>
      </c>
      <c r="L43" s="57" t="str">
        <f>IF(J43&lt;&gt;"",VLOOKUP(J43,Taxons!A:C,3,FALSE),"")</f>
        <v/>
      </c>
      <c r="M43" s="46"/>
      <c r="N43" s="44"/>
      <c r="O43" s="45"/>
      <c r="P43" s="45"/>
      <c r="Q43" s="45"/>
      <c r="R43" s="45"/>
      <c r="S43" s="44"/>
      <c r="T43" s="44"/>
      <c r="U43" s="45"/>
      <c r="V43" s="45"/>
      <c r="W43" s="45"/>
      <c r="X43" s="45"/>
      <c r="Y43" s="45"/>
      <c r="Z43" s="44"/>
      <c r="AA43" s="44"/>
      <c r="AB43" s="44"/>
      <c r="AC43" s="45"/>
      <c r="AD43" s="47"/>
      <c r="AE43" s="47"/>
      <c r="AF43" s="48"/>
      <c r="AG43" s="49"/>
    </row>
    <row r="44" spans="1:33" x14ac:dyDescent="0.25">
      <c r="A44" s="40"/>
      <c r="B44" s="41"/>
      <c r="C44" s="42"/>
      <c r="D44" s="41"/>
      <c r="E44" s="41"/>
      <c r="F44" s="41"/>
      <c r="G44" s="41"/>
      <c r="H44" s="41"/>
      <c r="I44" s="43"/>
      <c r="J44" s="44"/>
      <c r="K44" s="57" t="str">
        <f>IF(J44&lt;&gt;"",IF(VLOOKUP(J44,Taxons!A:C,2,FALSE)=0,"",VLOOKUP(J44,Taxons!A:C,2,FALSE)),"")</f>
        <v/>
      </c>
      <c r="L44" s="57" t="str">
        <f>IF(J44&lt;&gt;"",VLOOKUP(J44,Taxons!A:C,3,FALSE),"")</f>
        <v/>
      </c>
      <c r="M44" s="46"/>
      <c r="N44" s="44"/>
      <c r="O44" s="45"/>
      <c r="P44" s="45"/>
      <c r="Q44" s="45"/>
      <c r="R44" s="45"/>
      <c r="S44" s="44"/>
      <c r="T44" s="44"/>
      <c r="U44" s="45"/>
      <c r="V44" s="45"/>
      <c r="W44" s="45"/>
      <c r="X44" s="45"/>
      <c r="Y44" s="45"/>
      <c r="Z44" s="44"/>
      <c r="AA44" s="44"/>
      <c r="AB44" s="44"/>
      <c r="AC44" s="45"/>
      <c r="AD44" s="47"/>
      <c r="AE44" s="47"/>
      <c r="AF44" s="48"/>
      <c r="AG44" s="49"/>
    </row>
    <row r="45" spans="1:33" x14ac:dyDescent="0.25">
      <c r="A45" s="40"/>
      <c r="B45" s="41"/>
      <c r="C45" s="42"/>
      <c r="D45" s="41"/>
      <c r="E45" s="41"/>
      <c r="F45" s="41"/>
      <c r="G45" s="41"/>
      <c r="H45" s="41"/>
      <c r="I45" s="43"/>
      <c r="J45" s="44"/>
      <c r="K45" s="57" t="str">
        <f>IF(J45&lt;&gt;"",IF(VLOOKUP(J45,Taxons!A:C,2,FALSE)=0,"",VLOOKUP(J45,Taxons!A:C,2,FALSE)),"")</f>
        <v/>
      </c>
      <c r="L45" s="57" t="str">
        <f>IF(J45&lt;&gt;"",VLOOKUP(J45,Taxons!A:C,3,FALSE),"")</f>
        <v/>
      </c>
      <c r="M45" s="46"/>
      <c r="N45" s="44"/>
      <c r="O45" s="45"/>
      <c r="P45" s="45"/>
      <c r="Q45" s="45"/>
      <c r="R45" s="45"/>
      <c r="S45" s="44"/>
      <c r="T45" s="44"/>
      <c r="U45" s="45"/>
      <c r="V45" s="45"/>
      <c r="W45" s="45"/>
      <c r="X45" s="45"/>
      <c r="Y45" s="45"/>
      <c r="Z45" s="44"/>
      <c r="AA45" s="44"/>
      <c r="AB45" s="44"/>
      <c r="AC45" s="45"/>
      <c r="AD45" s="47"/>
      <c r="AE45" s="47"/>
      <c r="AF45" s="48"/>
      <c r="AG45" s="49"/>
    </row>
    <row r="46" spans="1:33" x14ac:dyDescent="0.25">
      <c r="A46" s="40"/>
      <c r="B46" s="41"/>
      <c r="C46" s="42"/>
      <c r="D46" s="41"/>
      <c r="E46" s="41"/>
      <c r="F46" s="41"/>
      <c r="G46" s="41"/>
      <c r="H46" s="41"/>
      <c r="I46" s="43"/>
      <c r="J46" s="44"/>
      <c r="K46" s="57" t="str">
        <f>IF(J46&lt;&gt;"",IF(VLOOKUP(J46,Taxons!A:C,2,FALSE)=0,"",VLOOKUP(J46,Taxons!A:C,2,FALSE)),"")</f>
        <v/>
      </c>
      <c r="L46" s="57" t="str">
        <f>IF(J46&lt;&gt;"",VLOOKUP(J46,Taxons!A:C,3,FALSE),"")</f>
        <v/>
      </c>
      <c r="M46" s="46"/>
      <c r="N46" s="44"/>
      <c r="O46" s="45"/>
      <c r="P46" s="45"/>
      <c r="Q46" s="45"/>
      <c r="R46" s="45"/>
      <c r="S46" s="44"/>
      <c r="T46" s="44"/>
      <c r="U46" s="45"/>
      <c r="V46" s="45"/>
      <c r="W46" s="45"/>
      <c r="X46" s="45"/>
      <c r="Y46" s="45"/>
      <c r="Z46" s="44"/>
      <c r="AA46" s="44"/>
      <c r="AB46" s="44"/>
      <c r="AC46" s="45"/>
      <c r="AD46" s="47"/>
      <c r="AE46" s="47"/>
      <c r="AF46" s="48"/>
      <c r="AG46" s="49"/>
    </row>
    <row r="47" spans="1:33" x14ac:dyDescent="0.25">
      <c r="A47" s="40"/>
      <c r="B47" s="41"/>
      <c r="C47" s="42"/>
      <c r="D47" s="41"/>
      <c r="E47" s="41"/>
      <c r="F47" s="41"/>
      <c r="G47" s="41"/>
      <c r="H47" s="41"/>
      <c r="I47" s="43"/>
      <c r="J47" s="44"/>
      <c r="K47" s="57" t="str">
        <f>IF(J47&lt;&gt;"",IF(VLOOKUP(J47,Taxons!A:C,2,FALSE)=0,"",VLOOKUP(J47,Taxons!A:C,2,FALSE)),"")</f>
        <v/>
      </c>
      <c r="L47" s="57" t="str">
        <f>IF(J47&lt;&gt;"",VLOOKUP(J47,Taxons!A:C,3,FALSE),"")</f>
        <v/>
      </c>
      <c r="M47" s="46"/>
      <c r="N47" s="44"/>
      <c r="O47" s="45"/>
      <c r="P47" s="45"/>
      <c r="Q47" s="45"/>
      <c r="R47" s="45"/>
      <c r="S47" s="44"/>
      <c r="T47" s="44"/>
      <c r="U47" s="45"/>
      <c r="V47" s="45"/>
      <c r="W47" s="45"/>
      <c r="X47" s="45"/>
      <c r="Y47" s="45"/>
      <c r="Z47" s="44"/>
      <c r="AA47" s="44"/>
      <c r="AB47" s="44"/>
      <c r="AC47" s="45"/>
      <c r="AD47" s="47"/>
      <c r="AE47" s="47"/>
      <c r="AF47" s="48"/>
      <c r="AG47" s="49"/>
    </row>
    <row r="48" spans="1:33" x14ac:dyDescent="0.25">
      <c r="A48" s="40"/>
      <c r="B48" s="41"/>
      <c r="C48" s="42"/>
      <c r="D48" s="41"/>
      <c r="E48" s="41"/>
      <c r="F48" s="41"/>
      <c r="G48" s="41"/>
      <c r="H48" s="41"/>
      <c r="I48" s="43"/>
      <c r="J48" s="44"/>
      <c r="K48" s="57" t="str">
        <f>IF(J48&lt;&gt;"",IF(VLOOKUP(J48,Taxons!A:C,2,FALSE)=0,"",VLOOKUP(J48,Taxons!A:C,2,FALSE)),"")</f>
        <v/>
      </c>
      <c r="L48" s="57" t="str">
        <f>IF(J48&lt;&gt;"",VLOOKUP(J48,Taxons!A:C,3,FALSE),"")</f>
        <v/>
      </c>
      <c r="M48" s="46"/>
      <c r="N48" s="44"/>
      <c r="O48" s="45"/>
      <c r="P48" s="45"/>
      <c r="Q48" s="45"/>
      <c r="R48" s="45"/>
      <c r="S48" s="44"/>
      <c r="T48" s="44"/>
      <c r="U48" s="45"/>
      <c r="V48" s="45"/>
      <c r="W48" s="45"/>
      <c r="X48" s="45"/>
      <c r="Y48" s="45"/>
      <c r="Z48" s="44"/>
      <c r="AA48" s="44"/>
      <c r="AB48" s="44"/>
      <c r="AC48" s="45"/>
      <c r="AD48" s="47"/>
      <c r="AE48" s="47"/>
      <c r="AF48" s="48"/>
      <c r="AG48" s="49"/>
    </row>
    <row r="49" spans="1:33" x14ac:dyDescent="0.25">
      <c r="A49" s="40"/>
      <c r="B49" s="41"/>
      <c r="C49" s="42"/>
      <c r="D49" s="41"/>
      <c r="E49" s="41"/>
      <c r="F49" s="41"/>
      <c r="G49" s="41"/>
      <c r="H49" s="41"/>
      <c r="I49" s="43"/>
      <c r="J49" s="44"/>
      <c r="K49" s="57" t="str">
        <f>IF(J49&lt;&gt;"",IF(VLOOKUP(J49,Taxons!A:C,2,FALSE)=0,"",VLOOKUP(J49,Taxons!A:C,2,FALSE)),"")</f>
        <v/>
      </c>
      <c r="L49" s="57" t="str">
        <f>IF(J49&lt;&gt;"",VLOOKUP(J49,Taxons!A:C,3,FALSE),"")</f>
        <v/>
      </c>
      <c r="M49" s="46"/>
      <c r="N49" s="44"/>
      <c r="O49" s="45"/>
      <c r="P49" s="45"/>
      <c r="Q49" s="45"/>
      <c r="R49" s="45"/>
      <c r="S49" s="44"/>
      <c r="T49" s="44"/>
      <c r="U49" s="45"/>
      <c r="V49" s="45"/>
      <c r="W49" s="45"/>
      <c r="X49" s="45"/>
      <c r="Y49" s="45"/>
      <c r="Z49" s="44"/>
      <c r="AA49" s="44"/>
      <c r="AB49" s="44"/>
      <c r="AC49" s="45"/>
      <c r="AD49" s="47"/>
      <c r="AE49" s="47"/>
      <c r="AF49" s="48"/>
      <c r="AG49" s="49"/>
    </row>
    <row r="50" spans="1:33" x14ac:dyDescent="0.25">
      <c r="A50" s="40"/>
      <c r="B50" s="41"/>
      <c r="C50" s="42"/>
      <c r="D50" s="41"/>
      <c r="E50" s="41"/>
      <c r="F50" s="41"/>
      <c r="G50" s="41"/>
      <c r="H50" s="41"/>
      <c r="I50" s="43"/>
      <c r="J50" s="44"/>
      <c r="K50" s="57" t="str">
        <f>IF(J50&lt;&gt;"",IF(VLOOKUP(J50,Taxons!A:C,2,FALSE)=0,"",VLOOKUP(J50,Taxons!A:C,2,FALSE)),"")</f>
        <v/>
      </c>
      <c r="L50" s="57" t="str">
        <f>IF(J50&lt;&gt;"",VLOOKUP(J50,Taxons!A:C,3,FALSE),"")</f>
        <v/>
      </c>
      <c r="M50" s="46"/>
      <c r="N50" s="44"/>
      <c r="O50" s="45"/>
      <c r="P50" s="45"/>
      <c r="Q50" s="45"/>
      <c r="R50" s="45"/>
      <c r="S50" s="44"/>
      <c r="T50" s="44"/>
      <c r="U50" s="45"/>
      <c r="V50" s="45"/>
      <c r="W50" s="45"/>
      <c r="X50" s="45"/>
      <c r="Y50" s="45"/>
      <c r="Z50" s="44"/>
      <c r="AA50" s="44"/>
      <c r="AB50" s="44"/>
      <c r="AC50" s="45"/>
      <c r="AD50" s="47"/>
      <c r="AE50" s="47"/>
      <c r="AF50" s="48"/>
      <c r="AG50" s="49"/>
    </row>
    <row r="51" spans="1:33" x14ac:dyDescent="0.25">
      <c r="A51" s="40"/>
      <c r="B51" s="41"/>
      <c r="C51" s="42"/>
      <c r="D51" s="41"/>
      <c r="E51" s="41"/>
      <c r="F51" s="41"/>
      <c r="G51" s="41"/>
      <c r="H51" s="41"/>
      <c r="I51" s="43"/>
      <c r="J51" s="44"/>
      <c r="K51" s="57" t="str">
        <f>IF(J51&lt;&gt;"",IF(VLOOKUP(J51,Taxons!A:C,2,FALSE)=0,"",VLOOKUP(J51,Taxons!A:C,2,FALSE)),"")</f>
        <v/>
      </c>
      <c r="L51" s="57" t="str">
        <f>IF(J51&lt;&gt;"",VLOOKUP(J51,Taxons!A:C,3,FALSE),"")</f>
        <v/>
      </c>
      <c r="M51" s="46"/>
      <c r="N51" s="44"/>
      <c r="O51" s="45"/>
      <c r="P51" s="45"/>
      <c r="Q51" s="45"/>
      <c r="R51" s="45"/>
      <c r="S51" s="44"/>
      <c r="T51" s="44"/>
      <c r="U51" s="45"/>
      <c r="V51" s="45"/>
      <c r="W51" s="45"/>
      <c r="X51" s="45"/>
      <c r="Y51" s="45"/>
      <c r="Z51" s="44"/>
      <c r="AA51" s="44"/>
      <c r="AB51" s="44"/>
      <c r="AC51" s="45"/>
      <c r="AD51" s="47"/>
      <c r="AE51" s="47"/>
      <c r="AF51" s="48"/>
      <c r="AG51" s="49"/>
    </row>
    <row r="52" spans="1:33" x14ac:dyDescent="0.25">
      <c r="A52" s="40"/>
      <c r="B52" s="41"/>
      <c r="C52" s="42"/>
      <c r="D52" s="41"/>
      <c r="E52" s="41"/>
      <c r="F52" s="41"/>
      <c r="G52" s="41"/>
      <c r="H52" s="41"/>
      <c r="I52" s="43"/>
      <c r="J52" s="44"/>
      <c r="K52" s="57" t="str">
        <f>IF(J52&lt;&gt;"",IF(VLOOKUP(J52,Taxons!A:C,2,FALSE)=0,"",VLOOKUP(J52,Taxons!A:C,2,FALSE)),"")</f>
        <v/>
      </c>
      <c r="L52" s="57" t="str">
        <f>IF(J52&lt;&gt;"",VLOOKUP(J52,Taxons!A:C,3,FALSE),"")</f>
        <v/>
      </c>
      <c r="M52" s="46"/>
      <c r="N52" s="44"/>
      <c r="O52" s="45"/>
      <c r="P52" s="45"/>
      <c r="Q52" s="45"/>
      <c r="R52" s="45"/>
      <c r="S52" s="44"/>
      <c r="T52" s="44"/>
      <c r="U52" s="45"/>
      <c r="V52" s="45"/>
      <c r="W52" s="45"/>
      <c r="X52" s="45"/>
      <c r="Y52" s="45"/>
      <c r="Z52" s="44"/>
      <c r="AA52" s="44"/>
      <c r="AB52" s="44"/>
      <c r="AC52" s="45"/>
      <c r="AD52" s="47"/>
      <c r="AE52" s="47"/>
      <c r="AF52" s="48"/>
      <c r="AG52" s="49"/>
    </row>
    <row r="53" spans="1:33" x14ac:dyDescent="0.25">
      <c r="A53" s="40"/>
      <c r="B53" s="41"/>
      <c r="C53" s="42"/>
      <c r="D53" s="41"/>
      <c r="E53" s="41"/>
      <c r="F53" s="41"/>
      <c r="G53" s="41"/>
      <c r="H53" s="41"/>
      <c r="I53" s="43"/>
      <c r="J53" s="44"/>
      <c r="K53" s="57" t="str">
        <f>IF(J53&lt;&gt;"",IF(VLOOKUP(J53,Taxons!A:C,2,FALSE)=0,"",VLOOKUP(J53,Taxons!A:C,2,FALSE)),"")</f>
        <v/>
      </c>
      <c r="L53" s="57" t="str">
        <f>IF(J53&lt;&gt;"",VLOOKUP(J53,Taxons!A:C,3,FALSE),"")</f>
        <v/>
      </c>
      <c r="M53" s="46"/>
      <c r="N53" s="44"/>
      <c r="O53" s="45"/>
      <c r="P53" s="45"/>
      <c r="Q53" s="45"/>
      <c r="R53" s="45"/>
      <c r="S53" s="44"/>
      <c r="T53" s="44"/>
      <c r="U53" s="45"/>
      <c r="V53" s="45"/>
      <c r="W53" s="45"/>
      <c r="X53" s="45"/>
      <c r="Y53" s="45"/>
      <c r="Z53" s="44"/>
      <c r="AA53" s="44"/>
      <c r="AB53" s="44"/>
      <c r="AC53" s="45"/>
      <c r="AD53" s="47"/>
      <c r="AE53" s="47"/>
      <c r="AF53" s="48"/>
      <c r="AG53" s="49"/>
    </row>
    <row r="54" spans="1:33" x14ac:dyDescent="0.25">
      <c r="A54" s="40"/>
      <c r="B54" s="41"/>
      <c r="C54" s="42"/>
      <c r="D54" s="41"/>
      <c r="E54" s="41"/>
      <c r="F54" s="41"/>
      <c r="G54" s="41"/>
      <c r="H54" s="41"/>
      <c r="I54" s="43"/>
      <c r="J54" s="44"/>
      <c r="K54" s="57" t="str">
        <f>IF(J54&lt;&gt;"",IF(VLOOKUP(J54,Taxons!A:C,2,FALSE)=0,"",VLOOKUP(J54,Taxons!A:C,2,FALSE)),"")</f>
        <v/>
      </c>
      <c r="L54" s="57" t="str">
        <f>IF(J54&lt;&gt;"",VLOOKUP(J54,Taxons!A:C,3,FALSE),"")</f>
        <v/>
      </c>
      <c r="M54" s="46"/>
      <c r="N54" s="44"/>
      <c r="O54" s="45"/>
      <c r="P54" s="45"/>
      <c r="Q54" s="45"/>
      <c r="R54" s="45"/>
      <c r="S54" s="44"/>
      <c r="T54" s="44"/>
      <c r="U54" s="45"/>
      <c r="V54" s="45"/>
      <c r="W54" s="45"/>
      <c r="X54" s="45"/>
      <c r="Y54" s="45"/>
      <c r="Z54" s="44"/>
      <c r="AA54" s="44"/>
      <c r="AB54" s="44"/>
      <c r="AC54" s="45"/>
      <c r="AD54" s="47"/>
      <c r="AE54" s="47"/>
      <c r="AF54" s="48"/>
      <c r="AG54" s="49"/>
    </row>
    <row r="55" spans="1:33" x14ac:dyDescent="0.25">
      <c r="A55" s="40"/>
      <c r="B55" s="41"/>
      <c r="C55" s="42"/>
      <c r="D55" s="41"/>
      <c r="E55" s="41"/>
      <c r="F55" s="41"/>
      <c r="G55" s="41"/>
      <c r="H55" s="41"/>
      <c r="I55" s="43"/>
      <c r="J55" s="44"/>
      <c r="K55" s="57" t="str">
        <f>IF(J55&lt;&gt;"",IF(VLOOKUP(J55,Taxons!A:C,2,FALSE)=0,"",VLOOKUP(J55,Taxons!A:C,2,FALSE)),"")</f>
        <v/>
      </c>
      <c r="L55" s="57" t="str">
        <f>IF(J55&lt;&gt;"",VLOOKUP(J55,Taxons!A:C,3,FALSE),"")</f>
        <v/>
      </c>
      <c r="M55" s="46"/>
      <c r="N55" s="44"/>
      <c r="O55" s="45"/>
      <c r="P55" s="45"/>
      <c r="Q55" s="45"/>
      <c r="R55" s="45"/>
      <c r="S55" s="44"/>
      <c r="T55" s="44"/>
      <c r="U55" s="45"/>
      <c r="V55" s="45"/>
      <c r="W55" s="45"/>
      <c r="X55" s="45"/>
      <c r="Y55" s="45"/>
      <c r="Z55" s="44"/>
      <c r="AA55" s="44"/>
      <c r="AB55" s="44"/>
      <c r="AC55" s="45"/>
      <c r="AD55" s="47"/>
      <c r="AE55" s="47"/>
      <c r="AF55" s="48"/>
      <c r="AG55" s="49"/>
    </row>
    <row r="56" spans="1:33" x14ac:dyDescent="0.25">
      <c r="A56" s="40"/>
      <c r="B56" s="41"/>
      <c r="C56" s="42"/>
      <c r="D56" s="41"/>
      <c r="E56" s="41"/>
      <c r="F56" s="41"/>
      <c r="G56" s="41"/>
      <c r="H56" s="41"/>
      <c r="I56" s="43"/>
      <c r="J56" s="44"/>
      <c r="K56" s="57" t="str">
        <f>IF(J56&lt;&gt;"",IF(VLOOKUP(J56,Taxons!A:C,2,FALSE)=0,"",VLOOKUP(J56,Taxons!A:C,2,FALSE)),"")</f>
        <v/>
      </c>
      <c r="L56" s="57" t="str">
        <f>IF(J56&lt;&gt;"",VLOOKUP(J56,Taxons!A:C,3,FALSE),"")</f>
        <v/>
      </c>
      <c r="M56" s="46"/>
      <c r="N56" s="44"/>
      <c r="O56" s="45"/>
      <c r="P56" s="45"/>
      <c r="Q56" s="45"/>
      <c r="R56" s="45"/>
      <c r="S56" s="44"/>
      <c r="T56" s="44"/>
      <c r="U56" s="45"/>
      <c r="V56" s="45"/>
      <c r="W56" s="45"/>
      <c r="X56" s="45"/>
      <c r="Y56" s="45"/>
      <c r="Z56" s="44"/>
      <c r="AA56" s="44"/>
      <c r="AB56" s="44"/>
      <c r="AC56" s="45"/>
      <c r="AD56" s="47"/>
      <c r="AE56" s="47"/>
      <c r="AF56" s="48"/>
      <c r="AG56" s="49"/>
    </row>
    <row r="57" spans="1:33" x14ac:dyDescent="0.25">
      <c r="A57" s="40"/>
      <c r="B57" s="41"/>
      <c r="C57" s="42"/>
      <c r="D57" s="41"/>
      <c r="E57" s="41"/>
      <c r="F57" s="41"/>
      <c r="G57" s="41"/>
      <c r="H57" s="41"/>
      <c r="I57" s="43"/>
      <c r="J57" s="44"/>
      <c r="K57" s="57" t="str">
        <f>IF(J57&lt;&gt;"",IF(VLOOKUP(J57,Taxons!A:C,2,FALSE)=0,"",VLOOKUP(J57,Taxons!A:C,2,FALSE)),"")</f>
        <v/>
      </c>
      <c r="L57" s="57" t="str">
        <f>IF(J57&lt;&gt;"",VLOOKUP(J57,Taxons!A:C,3,FALSE),"")</f>
        <v/>
      </c>
      <c r="M57" s="46"/>
      <c r="N57" s="44"/>
      <c r="O57" s="45"/>
      <c r="P57" s="45"/>
      <c r="Q57" s="45"/>
      <c r="R57" s="45"/>
      <c r="S57" s="44"/>
      <c r="T57" s="44"/>
      <c r="U57" s="45"/>
      <c r="V57" s="45"/>
      <c r="W57" s="45"/>
      <c r="X57" s="45"/>
      <c r="Y57" s="45"/>
      <c r="Z57" s="44"/>
      <c r="AA57" s="44"/>
      <c r="AB57" s="44"/>
      <c r="AC57" s="45"/>
      <c r="AD57" s="47"/>
      <c r="AE57" s="47"/>
      <c r="AF57" s="48"/>
      <c r="AG57" s="49"/>
    </row>
    <row r="58" spans="1:33" x14ac:dyDescent="0.25">
      <c r="A58" s="40"/>
      <c r="B58" s="41"/>
      <c r="C58" s="42"/>
      <c r="D58" s="41"/>
      <c r="E58" s="41"/>
      <c r="F58" s="41"/>
      <c r="G58" s="41"/>
      <c r="H58" s="41"/>
      <c r="I58" s="43"/>
      <c r="J58" s="44"/>
      <c r="K58" s="57" t="str">
        <f>IF(J58&lt;&gt;"",IF(VLOOKUP(J58,Taxons!A:C,2,FALSE)=0,"",VLOOKUP(J58,Taxons!A:C,2,FALSE)),"")</f>
        <v/>
      </c>
      <c r="L58" s="57" t="str">
        <f>IF(J58&lt;&gt;"",VLOOKUP(J58,Taxons!A:C,3,FALSE),"")</f>
        <v/>
      </c>
      <c r="M58" s="46"/>
      <c r="N58" s="44"/>
      <c r="O58" s="45"/>
      <c r="P58" s="45"/>
      <c r="Q58" s="45"/>
      <c r="R58" s="45"/>
      <c r="S58" s="44"/>
      <c r="T58" s="44"/>
      <c r="U58" s="45"/>
      <c r="V58" s="45"/>
      <c r="W58" s="45"/>
      <c r="X58" s="45"/>
      <c r="Y58" s="45"/>
      <c r="Z58" s="44"/>
      <c r="AA58" s="44"/>
      <c r="AB58" s="44"/>
      <c r="AC58" s="45"/>
      <c r="AD58" s="47"/>
      <c r="AE58" s="47"/>
      <c r="AF58" s="48"/>
      <c r="AG58" s="49"/>
    </row>
    <row r="59" spans="1:33" x14ac:dyDescent="0.25">
      <c r="A59" s="40"/>
      <c r="B59" s="41"/>
      <c r="C59" s="42"/>
      <c r="D59" s="41"/>
      <c r="E59" s="41"/>
      <c r="F59" s="41"/>
      <c r="G59" s="41"/>
      <c r="H59" s="41"/>
      <c r="I59" s="43"/>
      <c r="J59" s="44"/>
      <c r="K59" s="57" t="str">
        <f>IF(J59&lt;&gt;"",IF(VLOOKUP(J59,Taxons!A:C,2,FALSE)=0,"",VLOOKUP(J59,Taxons!A:C,2,FALSE)),"")</f>
        <v/>
      </c>
      <c r="L59" s="57" t="str">
        <f>IF(J59&lt;&gt;"",VLOOKUP(J59,Taxons!A:C,3,FALSE),"")</f>
        <v/>
      </c>
      <c r="M59" s="46"/>
      <c r="N59" s="44"/>
      <c r="O59" s="45"/>
      <c r="P59" s="45"/>
      <c r="Q59" s="45"/>
      <c r="R59" s="45"/>
      <c r="S59" s="44"/>
      <c r="T59" s="44"/>
      <c r="U59" s="45"/>
      <c r="V59" s="45"/>
      <c r="W59" s="45"/>
      <c r="X59" s="45"/>
      <c r="Y59" s="45"/>
      <c r="Z59" s="44"/>
      <c r="AA59" s="44"/>
      <c r="AB59" s="44"/>
      <c r="AC59" s="45"/>
      <c r="AD59" s="47"/>
      <c r="AE59" s="47"/>
      <c r="AF59" s="48"/>
      <c r="AG59" s="49"/>
    </row>
    <row r="60" spans="1:33" x14ac:dyDescent="0.25">
      <c r="A60" s="40"/>
      <c r="B60" s="41"/>
      <c r="C60" s="42"/>
      <c r="D60" s="41"/>
      <c r="E60" s="41"/>
      <c r="F60" s="41"/>
      <c r="G60" s="41"/>
      <c r="H60" s="41"/>
      <c r="I60" s="43"/>
      <c r="J60" s="44"/>
      <c r="K60" s="57" t="str">
        <f>IF(J60&lt;&gt;"",IF(VLOOKUP(J60,Taxons!A:C,2,FALSE)=0,"",VLOOKUP(J60,Taxons!A:C,2,FALSE)),"")</f>
        <v/>
      </c>
      <c r="L60" s="57" t="str">
        <f>IF(J60&lt;&gt;"",VLOOKUP(J60,Taxons!A:C,3,FALSE),"")</f>
        <v/>
      </c>
      <c r="M60" s="46"/>
      <c r="N60" s="44"/>
      <c r="O60" s="45"/>
      <c r="P60" s="45"/>
      <c r="Q60" s="45"/>
      <c r="R60" s="45"/>
      <c r="S60" s="44"/>
      <c r="T60" s="44"/>
      <c r="U60" s="45"/>
      <c r="V60" s="45"/>
      <c r="W60" s="45"/>
      <c r="X60" s="45"/>
      <c r="Y60" s="45"/>
      <c r="Z60" s="44"/>
      <c r="AA60" s="44"/>
      <c r="AB60" s="44"/>
      <c r="AC60" s="45"/>
      <c r="AD60" s="47"/>
      <c r="AE60" s="47"/>
      <c r="AF60" s="48"/>
      <c r="AG60" s="49"/>
    </row>
    <row r="61" spans="1:33" x14ac:dyDescent="0.25">
      <c r="A61" s="40"/>
      <c r="B61" s="41"/>
      <c r="C61" s="42"/>
      <c r="D61" s="41"/>
      <c r="E61" s="41"/>
      <c r="F61" s="41"/>
      <c r="G61" s="41"/>
      <c r="H61" s="41"/>
      <c r="I61" s="43"/>
      <c r="J61" s="44"/>
      <c r="K61" s="57" t="str">
        <f>IF(J61&lt;&gt;"",IF(VLOOKUP(J61,Taxons!A:C,2,FALSE)=0,"",VLOOKUP(J61,Taxons!A:C,2,FALSE)),"")</f>
        <v/>
      </c>
      <c r="L61" s="57" t="str">
        <f>IF(J61&lt;&gt;"",VLOOKUP(J61,Taxons!A:C,3,FALSE),"")</f>
        <v/>
      </c>
      <c r="M61" s="46"/>
      <c r="N61" s="44"/>
      <c r="O61" s="45"/>
      <c r="P61" s="45"/>
      <c r="Q61" s="45"/>
      <c r="R61" s="45"/>
      <c r="S61" s="44"/>
      <c r="T61" s="44"/>
      <c r="U61" s="45"/>
      <c r="V61" s="45"/>
      <c r="W61" s="45"/>
      <c r="X61" s="45"/>
      <c r="Y61" s="45"/>
      <c r="Z61" s="44"/>
      <c r="AA61" s="44"/>
      <c r="AB61" s="44"/>
      <c r="AC61" s="45"/>
      <c r="AD61" s="47"/>
      <c r="AE61" s="47"/>
      <c r="AF61" s="48"/>
      <c r="AG61" s="49"/>
    </row>
    <row r="62" spans="1:33" x14ac:dyDescent="0.25">
      <c r="A62" s="40"/>
      <c r="B62" s="41"/>
      <c r="C62" s="42"/>
      <c r="D62" s="41"/>
      <c r="E62" s="41"/>
      <c r="F62" s="41"/>
      <c r="G62" s="41"/>
      <c r="H62" s="41"/>
      <c r="I62" s="43"/>
      <c r="J62" s="44"/>
      <c r="K62" s="57" t="str">
        <f>IF(J62&lt;&gt;"",IF(VLOOKUP(J62,Taxons!A:C,2,FALSE)=0,"",VLOOKUP(J62,Taxons!A:C,2,FALSE)),"")</f>
        <v/>
      </c>
      <c r="L62" s="57" t="str">
        <f>IF(J62&lt;&gt;"",VLOOKUP(J62,Taxons!A:C,3,FALSE),"")</f>
        <v/>
      </c>
      <c r="M62" s="46"/>
      <c r="N62" s="44"/>
      <c r="O62" s="45"/>
      <c r="P62" s="45"/>
      <c r="Q62" s="45"/>
      <c r="R62" s="45"/>
      <c r="S62" s="44"/>
      <c r="T62" s="44"/>
      <c r="U62" s="45"/>
      <c r="V62" s="45"/>
      <c r="W62" s="45"/>
      <c r="X62" s="45"/>
      <c r="Y62" s="45"/>
      <c r="Z62" s="44"/>
      <c r="AA62" s="44"/>
      <c r="AB62" s="44"/>
      <c r="AC62" s="45"/>
      <c r="AD62" s="47"/>
      <c r="AE62" s="47"/>
      <c r="AF62" s="48"/>
      <c r="AG62" s="49"/>
    </row>
    <row r="63" spans="1:33" x14ac:dyDescent="0.25">
      <c r="A63" s="40"/>
      <c r="B63" s="41"/>
      <c r="C63" s="42"/>
      <c r="D63" s="41"/>
      <c r="E63" s="41"/>
      <c r="F63" s="41"/>
      <c r="G63" s="41"/>
      <c r="H63" s="41"/>
      <c r="I63" s="43"/>
      <c r="J63" s="44"/>
      <c r="K63" s="57" t="str">
        <f>IF(J63&lt;&gt;"",IF(VLOOKUP(J63,Taxons!A:C,2,FALSE)=0,"",VLOOKUP(J63,Taxons!A:C,2,FALSE)),"")</f>
        <v/>
      </c>
      <c r="L63" s="57" t="str">
        <f>IF(J63&lt;&gt;"",VLOOKUP(J63,Taxons!A:C,3,FALSE),"")</f>
        <v/>
      </c>
      <c r="M63" s="46"/>
      <c r="N63" s="44"/>
      <c r="O63" s="45"/>
      <c r="P63" s="45"/>
      <c r="Q63" s="45"/>
      <c r="R63" s="45"/>
      <c r="S63" s="44"/>
      <c r="T63" s="44"/>
      <c r="U63" s="45"/>
      <c r="V63" s="45"/>
      <c r="W63" s="45"/>
      <c r="X63" s="45"/>
      <c r="Y63" s="45"/>
      <c r="Z63" s="44"/>
      <c r="AA63" s="44"/>
      <c r="AB63" s="44"/>
      <c r="AC63" s="45"/>
      <c r="AD63" s="47"/>
      <c r="AE63" s="47"/>
      <c r="AF63" s="48"/>
      <c r="AG63" s="49"/>
    </row>
    <row r="64" spans="1:33" x14ac:dyDescent="0.25">
      <c r="A64" s="40"/>
      <c r="B64" s="41"/>
      <c r="C64" s="42"/>
      <c r="D64" s="41"/>
      <c r="E64" s="41"/>
      <c r="F64" s="41"/>
      <c r="G64" s="41"/>
      <c r="H64" s="41"/>
      <c r="I64" s="43"/>
      <c r="J64" s="44"/>
      <c r="K64" s="57" t="str">
        <f>IF(J64&lt;&gt;"",IF(VLOOKUP(J64,Taxons!A:C,2,FALSE)=0,"",VLOOKUP(J64,Taxons!A:C,2,FALSE)),"")</f>
        <v/>
      </c>
      <c r="L64" s="57" t="str">
        <f>IF(J64&lt;&gt;"",VLOOKUP(J64,Taxons!A:C,3,FALSE),"")</f>
        <v/>
      </c>
      <c r="M64" s="46"/>
      <c r="N64" s="44"/>
      <c r="O64" s="45"/>
      <c r="P64" s="45"/>
      <c r="Q64" s="45"/>
      <c r="R64" s="45"/>
      <c r="S64" s="44"/>
      <c r="T64" s="44"/>
      <c r="U64" s="45"/>
      <c r="V64" s="45"/>
      <c r="W64" s="45"/>
      <c r="X64" s="45"/>
      <c r="Y64" s="45"/>
      <c r="Z64" s="44"/>
      <c r="AA64" s="44"/>
      <c r="AB64" s="44"/>
      <c r="AC64" s="45"/>
      <c r="AD64" s="47"/>
      <c r="AE64" s="47"/>
      <c r="AF64" s="48"/>
      <c r="AG64" s="49"/>
    </row>
    <row r="65" spans="1:33" x14ac:dyDescent="0.25">
      <c r="A65" s="40"/>
      <c r="B65" s="41"/>
      <c r="C65" s="42"/>
      <c r="D65" s="41"/>
      <c r="E65" s="41"/>
      <c r="F65" s="41"/>
      <c r="G65" s="41"/>
      <c r="H65" s="41"/>
      <c r="I65" s="43"/>
      <c r="J65" s="44"/>
      <c r="K65" s="57" t="str">
        <f>IF(J65&lt;&gt;"",IF(VLOOKUP(J65,Taxons!A:C,2,FALSE)=0,"",VLOOKUP(J65,Taxons!A:C,2,FALSE)),"")</f>
        <v/>
      </c>
      <c r="L65" s="57" t="str">
        <f>IF(J65&lt;&gt;"",VLOOKUP(J65,Taxons!A:C,3,FALSE),"")</f>
        <v/>
      </c>
      <c r="M65" s="46"/>
      <c r="N65" s="44"/>
      <c r="O65" s="45"/>
      <c r="P65" s="45"/>
      <c r="Q65" s="45"/>
      <c r="R65" s="45"/>
      <c r="S65" s="44"/>
      <c r="T65" s="44"/>
      <c r="U65" s="45"/>
      <c r="V65" s="45"/>
      <c r="W65" s="45"/>
      <c r="X65" s="45"/>
      <c r="Y65" s="45"/>
      <c r="Z65" s="44"/>
      <c r="AA65" s="44"/>
      <c r="AB65" s="44"/>
      <c r="AC65" s="45"/>
      <c r="AD65" s="47"/>
      <c r="AE65" s="47"/>
      <c r="AF65" s="48"/>
      <c r="AG65" s="49"/>
    </row>
    <row r="66" spans="1:33" x14ac:dyDescent="0.25">
      <c r="A66" s="40"/>
      <c r="B66" s="41"/>
      <c r="C66" s="42"/>
      <c r="D66" s="41"/>
      <c r="E66" s="41"/>
      <c r="F66" s="41"/>
      <c r="G66" s="41"/>
      <c r="H66" s="41"/>
      <c r="I66" s="43"/>
      <c r="J66" s="44"/>
      <c r="K66" s="57" t="str">
        <f>IF(J66&lt;&gt;"",IF(VLOOKUP(J66,Taxons!A:C,2,FALSE)=0,"",VLOOKUP(J66,Taxons!A:C,2,FALSE)),"")</f>
        <v/>
      </c>
      <c r="L66" s="57" t="str">
        <f>IF(J66&lt;&gt;"",VLOOKUP(J66,Taxons!A:C,3,FALSE),"")</f>
        <v/>
      </c>
      <c r="M66" s="46"/>
      <c r="N66" s="44"/>
      <c r="O66" s="45"/>
      <c r="P66" s="45"/>
      <c r="Q66" s="45"/>
      <c r="R66" s="45"/>
      <c r="S66" s="44"/>
      <c r="T66" s="44"/>
      <c r="U66" s="45"/>
      <c r="V66" s="45"/>
      <c r="W66" s="45"/>
      <c r="X66" s="45"/>
      <c r="Y66" s="45"/>
      <c r="Z66" s="44"/>
      <c r="AA66" s="44"/>
      <c r="AB66" s="44"/>
      <c r="AC66" s="45"/>
      <c r="AD66" s="47"/>
      <c r="AE66" s="47"/>
      <c r="AF66" s="48"/>
      <c r="AG66" s="49"/>
    </row>
    <row r="67" spans="1:33" x14ac:dyDescent="0.25">
      <c r="A67" s="40"/>
      <c r="B67" s="41"/>
      <c r="C67" s="42"/>
      <c r="D67" s="41"/>
      <c r="E67" s="41"/>
      <c r="F67" s="41"/>
      <c r="G67" s="41"/>
      <c r="H67" s="41"/>
      <c r="I67" s="43"/>
      <c r="J67" s="44"/>
      <c r="K67" s="57" t="str">
        <f>IF(J67&lt;&gt;"",IF(VLOOKUP(J67,Taxons!A:C,2,FALSE)=0,"",VLOOKUP(J67,Taxons!A:C,2,FALSE)),"")</f>
        <v/>
      </c>
      <c r="L67" s="57" t="str">
        <f>IF(J67&lt;&gt;"",VLOOKUP(J67,Taxons!A:C,3,FALSE),"")</f>
        <v/>
      </c>
      <c r="M67" s="46"/>
      <c r="N67" s="44"/>
      <c r="O67" s="45"/>
      <c r="P67" s="45"/>
      <c r="Q67" s="45"/>
      <c r="R67" s="45"/>
      <c r="S67" s="44"/>
      <c r="T67" s="44"/>
      <c r="U67" s="45"/>
      <c r="V67" s="45"/>
      <c r="W67" s="45"/>
      <c r="X67" s="45"/>
      <c r="Y67" s="45"/>
      <c r="Z67" s="44"/>
      <c r="AA67" s="44"/>
      <c r="AB67" s="44"/>
      <c r="AC67" s="45"/>
      <c r="AD67" s="47"/>
      <c r="AE67" s="47"/>
      <c r="AF67" s="48"/>
      <c r="AG67" s="49"/>
    </row>
    <row r="68" spans="1:33" x14ac:dyDescent="0.25">
      <c r="A68" s="40"/>
      <c r="B68" s="41"/>
      <c r="C68" s="42"/>
      <c r="D68" s="41"/>
      <c r="E68" s="41"/>
      <c r="F68" s="41"/>
      <c r="G68" s="41"/>
      <c r="H68" s="41"/>
      <c r="I68" s="43"/>
      <c r="J68" s="44"/>
      <c r="K68" s="57" t="str">
        <f>IF(J68&lt;&gt;"",IF(VLOOKUP(J68,Taxons!A:C,2,FALSE)=0,"",VLOOKUP(J68,Taxons!A:C,2,FALSE)),"")</f>
        <v/>
      </c>
      <c r="L68" s="57" t="str">
        <f>IF(J68&lt;&gt;"",VLOOKUP(J68,Taxons!A:C,3,FALSE),"")</f>
        <v/>
      </c>
      <c r="M68" s="46"/>
      <c r="N68" s="44"/>
      <c r="O68" s="45"/>
      <c r="P68" s="45"/>
      <c r="Q68" s="45"/>
      <c r="R68" s="45"/>
      <c r="S68" s="44"/>
      <c r="T68" s="44"/>
      <c r="U68" s="45"/>
      <c r="V68" s="45"/>
      <c r="W68" s="45"/>
      <c r="X68" s="45"/>
      <c r="Y68" s="45"/>
      <c r="Z68" s="44"/>
      <c r="AA68" s="44"/>
      <c r="AB68" s="44"/>
      <c r="AC68" s="45"/>
      <c r="AD68" s="47"/>
      <c r="AE68" s="47"/>
      <c r="AF68" s="48"/>
      <c r="AG68" s="49"/>
    </row>
    <row r="69" spans="1:33" x14ac:dyDescent="0.25">
      <c r="A69" s="40"/>
      <c r="B69" s="41"/>
      <c r="C69" s="42"/>
      <c r="D69" s="41"/>
      <c r="E69" s="41"/>
      <c r="F69" s="41"/>
      <c r="G69" s="41"/>
      <c r="H69" s="41"/>
      <c r="I69" s="43"/>
      <c r="J69" s="44"/>
      <c r="K69" s="57" t="str">
        <f>IF(J69&lt;&gt;"",IF(VLOOKUP(J69,Taxons!A:C,2,FALSE)=0,"",VLOOKUP(J69,Taxons!A:C,2,FALSE)),"")</f>
        <v/>
      </c>
      <c r="L69" s="57" t="str">
        <f>IF(J69&lt;&gt;"",VLOOKUP(J69,Taxons!A:C,3,FALSE),"")</f>
        <v/>
      </c>
      <c r="M69" s="46"/>
      <c r="N69" s="44"/>
      <c r="O69" s="45"/>
      <c r="P69" s="45"/>
      <c r="Q69" s="45"/>
      <c r="R69" s="45"/>
      <c r="S69" s="44"/>
      <c r="T69" s="44"/>
      <c r="U69" s="45"/>
      <c r="V69" s="45"/>
      <c r="W69" s="45"/>
      <c r="X69" s="45"/>
      <c r="Y69" s="45"/>
      <c r="Z69" s="44"/>
      <c r="AA69" s="44"/>
      <c r="AB69" s="44"/>
      <c r="AC69" s="45"/>
      <c r="AD69" s="47"/>
      <c r="AE69" s="47"/>
      <c r="AF69" s="48"/>
      <c r="AG69" s="49"/>
    </row>
    <row r="70" spans="1:33" x14ac:dyDescent="0.25">
      <c r="A70" s="40"/>
      <c r="B70" s="41"/>
      <c r="C70" s="42"/>
      <c r="D70" s="41"/>
      <c r="E70" s="41"/>
      <c r="F70" s="41"/>
      <c r="G70" s="41"/>
      <c r="H70" s="41"/>
      <c r="I70" s="43"/>
      <c r="J70" s="44"/>
      <c r="K70" s="57" t="str">
        <f>IF(J70&lt;&gt;"",IF(VLOOKUP(J70,Taxons!A:C,2,FALSE)=0,"",VLOOKUP(J70,Taxons!A:C,2,FALSE)),"")</f>
        <v/>
      </c>
      <c r="L70" s="57" t="str">
        <f>IF(J70&lt;&gt;"",VLOOKUP(J70,Taxons!A:C,3,FALSE),"")</f>
        <v/>
      </c>
      <c r="M70" s="46"/>
      <c r="N70" s="44"/>
      <c r="O70" s="45"/>
      <c r="P70" s="45"/>
      <c r="Q70" s="45"/>
      <c r="R70" s="45"/>
      <c r="S70" s="44"/>
      <c r="T70" s="44"/>
      <c r="U70" s="45"/>
      <c r="V70" s="45"/>
      <c r="W70" s="45"/>
      <c r="X70" s="45"/>
      <c r="Y70" s="45"/>
      <c r="Z70" s="44"/>
      <c r="AA70" s="44"/>
      <c r="AB70" s="44"/>
      <c r="AC70" s="45"/>
      <c r="AD70" s="47"/>
      <c r="AE70" s="47"/>
      <c r="AF70" s="48"/>
      <c r="AG70" s="49"/>
    </row>
    <row r="71" spans="1:33" x14ac:dyDescent="0.25">
      <c r="A71" s="40"/>
      <c r="B71" s="41"/>
      <c r="C71" s="42"/>
      <c r="D71" s="41"/>
      <c r="E71" s="41"/>
      <c r="F71" s="41"/>
      <c r="G71" s="41"/>
      <c r="H71" s="41"/>
      <c r="I71" s="43"/>
      <c r="J71" s="44"/>
      <c r="K71" s="57" t="str">
        <f>IF(J71&lt;&gt;"",IF(VLOOKUP(J71,Taxons!A:C,2,FALSE)=0,"",VLOOKUP(J71,Taxons!A:C,2,FALSE)),"")</f>
        <v/>
      </c>
      <c r="L71" s="57" t="str">
        <f>IF(J71&lt;&gt;"",VLOOKUP(J71,Taxons!A:C,3,FALSE),"")</f>
        <v/>
      </c>
      <c r="M71" s="46"/>
      <c r="N71" s="44"/>
      <c r="O71" s="45"/>
      <c r="P71" s="45"/>
      <c r="Q71" s="45"/>
      <c r="R71" s="45"/>
      <c r="S71" s="44"/>
      <c r="T71" s="44"/>
      <c r="U71" s="45"/>
      <c r="V71" s="45"/>
      <c r="W71" s="45"/>
      <c r="X71" s="45"/>
      <c r="Y71" s="45"/>
      <c r="Z71" s="44"/>
      <c r="AA71" s="44"/>
      <c r="AB71" s="44"/>
      <c r="AC71" s="45"/>
      <c r="AD71" s="47"/>
      <c r="AE71" s="47"/>
      <c r="AF71" s="48"/>
      <c r="AG71" s="49"/>
    </row>
    <row r="72" spans="1:33" x14ac:dyDescent="0.25">
      <c r="A72" s="40"/>
      <c r="B72" s="41"/>
      <c r="C72" s="42"/>
      <c r="D72" s="41"/>
      <c r="E72" s="41"/>
      <c r="F72" s="41"/>
      <c r="G72" s="41"/>
      <c r="H72" s="41"/>
      <c r="I72" s="43"/>
      <c r="J72" s="44"/>
      <c r="K72" s="57" t="str">
        <f>IF(J72&lt;&gt;"",IF(VLOOKUP(J72,Taxons!A:C,2,FALSE)=0,"",VLOOKUP(J72,Taxons!A:C,2,FALSE)),"")</f>
        <v/>
      </c>
      <c r="L72" s="57" t="str">
        <f>IF(J72&lt;&gt;"",VLOOKUP(J72,Taxons!A:C,3,FALSE),"")</f>
        <v/>
      </c>
      <c r="M72" s="46"/>
      <c r="N72" s="44"/>
      <c r="O72" s="45"/>
      <c r="P72" s="45"/>
      <c r="Q72" s="45"/>
      <c r="R72" s="45"/>
      <c r="S72" s="44"/>
      <c r="T72" s="44"/>
      <c r="U72" s="45"/>
      <c r="V72" s="45"/>
      <c r="W72" s="45"/>
      <c r="X72" s="45"/>
      <c r="Y72" s="45"/>
      <c r="Z72" s="44"/>
      <c r="AA72" s="44"/>
      <c r="AB72" s="44"/>
      <c r="AC72" s="45"/>
      <c r="AD72" s="47"/>
      <c r="AE72" s="47"/>
      <c r="AF72" s="48"/>
      <c r="AG72" s="49"/>
    </row>
    <row r="73" spans="1:33" x14ac:dyDescent="0.25">
      <c r="A73" s="40"/>
      <c r="B73" s="41"/>
      <c r="C73" s="42"/>
      <c r="D73" s="41"/>
      <c r="E73" s="41"/>
      <c r="F73" s="41"/>
      <c r="G73" s="41"/>
      <c r="H73" s="41"/>
      <c r="I73" s="43"/>
      <c r="J73" s="44"/>
      <c r="K73" s="57" t="str">
        <f>IF(J73&lt;&gt;"",IF(VLOOKUP(J73,Taxons!A:C,2,FALSE)=0,"",VLOOKUP(J73,Taxons!A:C,2,FALSE)),"")</f>
        <v/>
      </c>
      <c r="L73" s="57" t="str">
        <f>IF(J73&lt;&gt;"",VLOOKUP(J73,Taxons!A:C,3,FALSE),"")</f>
        <v/>
      </c>
      <c r="M73" s="46"/>
      <c r="N73" s="44"/>
      <c r="O73" s="45"/>
      <c r="P73" s="45"/>
      <c r="Q73" s="45"/>
      <c r="R73" s="45"/>
      <c r="S73" s="44"/>
      <c r="T73" s="44"/>
      <c r="U73" s="45"/>
      <c r="V73" s="45"/>
      <c r="W73" s="45"/>
      <c r="X73" s="45"/>
      <c r="Y73" s="45"/>
      <c r="Z73" s="44"/>
      <c r="AA73" s="44"/>
      <c r="AB73" s="44"/>
      <c r="AC73" s="45"/>
      <c r="AD73" s="47"/>
      <c r="AE73" s="47"/>
      <c r="AF73" s="48"/>
      <c r="AG73" s="49"/>
    </row>
    <row r="74" spans="1:33" x14ac:dyDescent="0.25">
      <c r="A74" s="40"/>
      <c r="B74" s="41"/>
      <c r="C74" s="42"/>
      <c r="D74" s="41"/>
      <c r="E74" s="41"/>
      <c r="F74" s="41"/>
      <c r="G74" s="41"/>
      <c r="H74" s="41"/>
      <c r="I74" s="43"/>
      <c r="J74" s="44"/>
      <c r="K74" s="57" t="str">
        <f>IF(J74&lt;&gt;"",IF(VLOOKUP(J74,Taxons!A:C,2,FALSE)=0,"",VLOOKUP(J74,Taxons!A:C,2,FALSE)),"")</f>
        <v/>
      </c>
      <c r="L74" s="57" t="str">
        <f>IF(J74&lt;&gt;"",VLOOKUP(J74,Taxons!A:C,3,FALSE),"")</f>
        <v/>
      </c>
      <c r="M74" s="46"/>
      <c r="N74" s="44"/>
      <c r="O74" s="45"/>
      <c r="P74" s="45"/>
      <c r="Q74" s="45"/>
      <c r="R74" s="45"/>
      <c r="S74" s="44"/>
      <c r="T74" s="44"/>
      <c r="U74" s="45"/>
      <c r="V74" s="45"/>
      <c r="W74" s="45"/>
      <c r="X74" s="45"/>
      <c r="Y74" s="45"/>
      <c r="Z74" s="44"/>
      <c r="AA74" s="44"/>
      <c r="AB74" s="44"/>
      <c r="AC74" s="45"/>
      <c r="AD74" s="47"/>
      <c r="AE74" s="47"/>
      <c r="AF74" s="48"/>
      <c r="AG74" s="49"/>
    </row>
    <row r="75" spans="1:33" x14ac:dyDescent="0.25">
      <c r="A75" s="40"/>
      <c r="B75" s="41"/>
      <c r="C75" s="42"/>
      <c r="D75" s="41"/>
      <c r="E75" s="41"/>
      <c r="F75" s="41"/>
      <c r="G75" s="41"/>
      <c r="H75" s="41"/>
      <c r="I75" s="43"/>
      <c r="J75" s="44"/>
      <c r="K75" s="57" t="str">
        <f>IF(J75&lt;&gt;"",IF(VLOOKUP(J75,Taxons!A:C,2,FALSE)=0,"",VLOOKUP(J75,Taxons!A:C,2,FALSE)),"")</f>
        <v/>
      </c>
      <c r="L75" s="57" t="str">
        <f>IF(J75&lt;&gt;"",VLOOKUP(J75,Taxons!A:C,3,FALSE),"")</f>
        <v/>
      </c>
      <c r="M75" s="46"/>
      <c r="N75" s="44"/>
      <c r="O75" s="45"/>
      <c r="P75" s="45"/>
      <c r="Q75" s="45"/>
      <c r="R75" s="45"/>
      <c r="S75" s="44"/>
      <c r="T75" s="44"/>
      <c r="U75" s="45"/>
      <c r="V75" s="45"/>
      <c r="W75" s="45"/>
      <c r="X75" s="45"/>
      <c r="Y75" s="45"/>
      <c r="Z75" s="44"/>
      <c r="AA75" s="44"/>
      <c r="AB75" s="44"/>
      <c r="AC75" s="45"/>
      <c r="AD75" s="47"/>
      <c r="AE75" s="47"/>
      <c r="AF75" s="48"/>
      <c r="AG75" s="49"/>
    </row>
    <row r="76" spans="1:33" x14ac:dyDescent="0.25">
      <c r="A76" s="40"/>
      <c r="B76" s="41"/>
      <c r="C76" s="42"/>
      <c r="D76" s="41"/>
      <c r="E76" s="41"/>
      <c r="F76" s="41"/>
      <c r="G76" s="41"/>
      <c r="H76" s="41"/>
      <c r="I76" s="43"/>
      <c r="J76" s="44"/>
      <c r="K76" s="57" t="str">
        <f>IF(J76&lt;&gt;"",IF(VLOOKUP(J76,Taxons!A:C,2,FALSE)=0,"",VLOOKUP(J76,Taxons!A:C,2,FALSE)),"")</f>
        <v/>
      </c>
      <c r="L76" s="57" t="str">
        <f>IF(J76&lt;&gt;"",VLOOKUP(J76,Taxons!A:C,3,FALSE),"")</f>
        <v/>
      </c>
      <c r="M76" s="46"/>
      <c r="N76" s="44"/>
      <c r="O76" s="45"/>
      <c r="P76" s="45"/>
      <c r="Q76" s="45"/>
      <c r="R76" s="45"/>
      <c r="S76" s="44"/>
      <c r="T76" s="44"/>
      <c r="U76" s="45"/>
      <c r="V76" s="45"/>
      <c r="W76" s="45"/>
      <c r="X76" s="45"/>
      <c r="Y76" s="45"/>
      <c r="Z76" s="44"/>
      <c r="AA76" s="44"/>
      <c r="AB76" s="44"/>
      <c r="AC76" s="45"/>
      <c r="AD76" s="47"/>
      <c r="AE76" s="47"/>
      <c r="AF76" s="48"/>
      <c r="AG76" s="49"/>
    </row>
    <row r="77" spans="1:33" x14ac:dyDescent="0.25">
      <c r="A77" s="40"/>
      <c r="B77" s="41"/>
      <c r="C77" s="42"/>
      <c r="D77" s="41"/>
      <c r="E77" s="41"/>
      <c r="F77" s="41"/>
      <c r="G77" s="41"/>
      <c r="H77" s="41"/>
      <c r="I77" s="43"/>
      <c r="J77" s="44"/>
      <c r="K77" s="57" t="str">
        <f>IF(J77&lt;&gt;"",IF(VLOOKUP(J77,Taxons!A:C,2,FALSE)=0,"",VLOOKUP(J77,Taxons!A:C,2,FALSE)),"")</f>
        <v/>
      </c>
      <c r="L77" s="57" t="str">
        <f>IF(J77&lt;&gt;"",VLOOKUP(J77,Taxons!A:C,3,FALSE),"")</f>
        <v/>
      </c>
      <c r="M77" s="46"/>
      <c r="N77" s="44"/>
      <c r="O77" s="45"/>
      <c r="P77" s="45"/>
      <c r="Q77" s="45"/>
      <c r="R77" s="45"/>
      <c r="S77" s="44"/>
      <c r="T77" s="44"/>
      <c r="U77" s="45"/>
      <c r="V77" s="45"/>
      <c r="W77" s="45"/>
      <c r="X77" s="45"/>
      <c r="Y77" s="45"/>
      <c r="Z77" s="44"/>
      <c r="AA77" s="44"/>
      <c r="AB77" s="44"/>
      <c r="AC77" s="45"/>
      <c r="AD77" s="47"/>
      <c r="AE77" s="47"/>
      <c r="AF77" s="48"/>
      <c r="AG77" s="49"/>
    </row>
    <row r="78" spans="1:33" x14ac:dyDescent="0.25">
      <c r="A78" s="40"/>
      <c r="B78" s="41"/>
      <c r="C78" s="42"/>
      <c r="D78" s="41"/>
      <c r="E78" s="41"/>
      <c r="F78" s="41"/>
      <c r="G78" s="41"/>
      <c r="H78" s="41"/>
      <c r="I78" s="43"/>
      <c r="J78" s="44"/>
      <c r="K78" s="57" t="str">
        <f>IF(J78&lt;&gt;"",IF(VLOOKUP(J78,Taxons!A:C,2,FALSE)=0,"",VLOOKUP(J78,Taxons!A:C,2,FALSE)),"")</f>
        <v/>
      </c>
      <c r="L78" s="57" t="str">
        <f>IF(J78&lt;&gt;"",VLOOKUP(J78,Taxons!A:C,3,FALSE),"")</f>
        <v/>
      </c>
      <c r="M78" s="46"/>
      <c r="N78" s="44"/>
      <c r="O78" s="45"/>
      <c r="P78" s="45"/>
      <c r="Q78" s="45"/>
      <c r="R78" s="45"/>
      <c r="S78" s="44"/>
      <c r="T78" s="44"/>
      <c r="U78" s="45"/>
      <c r="V78" s="45"/>
      <c r="W78" s="45"/>
      <c r="X78" s="45"/>
      <c r="Y78" s="45"/>
      <c r="Z78" s="44"/>
      <c r="AA78" s="44"/>
      <c r="AB78" s="44"/>
      <c r="AC78" s="45"/>
      <c r="AD78" s="47"/>
      <c r="AE78" s="47"/>
      <c r="AF78" s="48"/>
      <c r="AG78" s="49"/>
    </row>
    <row r="79" spans="1:33" x14ac:dyDescent="0.25">
      <c r="A79" s="40"/>
      <c r="B79" s="41"/>
      <c r="C79" s="42"/>
      <c r="D79" s="41"/>
      <c r="E79" s="41"/>
      <c r="F79" s="41"/>
      <c r="G79" s="41"/>
      <c r="H79" s="41"/>
      <c r="I79" s="43"/>
      <c r="J79" s="44"/>
      <c r="K79" s="57" t="str">
        <f>IF(J79&lt;&gt;"",IF(VLOOKUP(J79,Taxons!A:C,2,FALSE)=0,"",VLOOKUP(J79,Taxons!A:C,2,FALSE)),"")</f>
        <v/>
      </c>
      <c r="L79" s="57" t="str">
        <f>IF(J79&lt;&gt;"",VLOOKUP(J79,Taxons!A:C,3,FALSE),"")</f>
        <v/>
      </c>
      <c r="M79" s="46"/>
      <c r="N79" s="44"/>
      <c r="O79" s="45"/>
      <c r="P79" s="45"/>
      <c r="Q79" s="45"/>
      <c r="R79" s="45"/>
      <c r="S79" s="44"/>
      <c r="T79" s="44"/>
      <c r="U79" s="45"/>
      <c r="V79" s="45"/>
      <c r="W79" s="45"/>
      <c r="X79" s="45"/>
      <c r="Y79" s="45"/>
      <c r="Z79" s="44"/>
      <c r="AA79" s="44"/>
      <c r="AB79" s="44"/>
      <c r="AC79" s="45"/>
      <c r="AD79" s="47"/>
      <c r="AE79" s="47"/>
      <c r="AF79" s="48"/>
      <c r="AG79" s="49"/>
    </row>
    <row r="80" spans="1:33" x14ac:dyDescent="0.25">
      <c r="A80" s="40"/>
      <c r="B80" s="41"/>
      <c r="C80" s="42"/>
      <c r="D80" s="41"/>
      <c r="E80" s="41"/>
      <c r="F80" s="41"/>
      <c r="G80" s="41"/>
      <c r="H80" s="41"/>
      <c r="I80" s="43"/>
      <c r="J80" s="44"/>
      <c r="K80" s="57" t="str">
        <f>IF(J80&lt;&gt;"",IF(VLOOKUP(J80,Taxons!A:C,2,FALSE)=0,"",VLOOKUP(J80,Taxons!A:C,2,FALSE)),"")</f>
        <v/>
      </c>
      <c r="L80" s="57" t="str">
        <f>IF(J80&lt;&gt;"",VLOOKUP(J80,Taxons!A:C,3,FALSE),"")</f>
        <v/>
      </c>
      <c r="M80" s="46"/>
      <c r="N80" s="44"/>
      <c r="O80" s="45"/>
      <c r="P80" s="45"/>
      <c r="Q80" s="45"/>
      <c r="R80" s="45"/>
      <c r="S80" s="44"/>
      <c r="T80" s="44"/>
      <c r="U80" s="45"/>
      <c r="V80" s="45"/>
      <c r="W80" s="45"/>
      <c r="X80" s="45"/>
      <c r="Y80" s="45"/>
      <c r="Z80" s="44"/>
      <c r="AA80" s="44"/>
      <c r="AB80" s="44"/>
      <c r="AC80" s="45"/>
      <c r="AD80" s="47"/>
      <c r="AE80" s="47"/>
      <c r="AF80" s="48"/>
      <c r="AG80" s="49"/>
    </row>
    <row r="81" spans="1:33" x14ac:dyDescent="0.25">
      <c r="A81" s="40"/>
      <c r="B81" s="41"/>
      <c r="C81" s="42"/>
      <c r="D81" s="41"/>
      <c r="E81" s="41"/>
      <c r="F81" s="41"/>
      <c r="G81" s="41"/>
      <c r="H81" s="41"/>
      <c r="I81" s="43"/>
      <c r="J81" s="44"/>
      <c r="K81" s="57" t="str">
        <f>IF(J81&lt;&gt;"",IF(VLOOKUP(J81,Taxons!A:C,2,FALSE)=0,"",VLOOKUP(J81,Taxons!A:C,2,FALSE)),"")</f>
        <v/>
      </c>
      <c r="L81" s="57" t="str">
        <f>IF(J81&lt;&gt;"",VLOOKUP(J81,Taxons!A:C,3,FALSE),"")</f>
        <v/>
      </c>
      <c r="M81" s="46"/>
      <c r="N81" s="44"/>
      <c r="O81" s="45"/>
      <c r="P81" s="45"/>
      <c r="Q81" s="45"/>
      <c r="R81" s="45"/>
      <c r="S81" s="44"/>
      <c r="T81" s="44"/>
      <c r="U81" s="45"/>
      <c r="V81" s="45"/>
      <c r="W81" s="45"/>
      <c r="X81" s="45"/>
      <c r="Y81" s="45"/>
      <c r="Z81" s="44"/>
      <c r="AA81" s="44"/>
      <c r="AB81" s="44"/>
      <c r="AC81" s="45"/>
      <c r="AD81" s="47"/>
      <c r="AE81" s="47"/>
      <c r="AF81" s="48"/>
      <c r="AG81" s="49"/>
    </row>
    <row r="82" spans="1:33" x14ac:dyDescent="0.25">
      <c r="A82" s="40"/>
      <c r="B82" s="41"/>
      <c r="C82" s="42"/>
      <c r="D82" s="41"/>
      <c r="E82" s="41"/>
      <c r="F82" s="41"/>
      <c r="G82" s="41"/>
      <c r="H82" s="41"/>
      <c r="I82" s="43"/>
      <c r="J82" s="44"/>
      <c r="K82" s="57" t="str">
        <f>IF(J82&lt;&gt;"",IF(VLOOKUP(J82,Taxons!A:C,2,FALSE)=0,"",VLOOKUP(J82,Taxons!A:C,2,FALSE)),"")</f>
        <v/>
      </c>
      <c r="L82" s="57" t="str">
        <f>IF(J82&lt;&gt;"",VLOOKUP(J82,Taxons!A:C,3,FALSE),"")</f>
        <v/>
      </c>
      <c r="M82" s="46"/>
      <c r="N82" s="44"/>
      <c r="O82" s="45"/>
      <c r="P82" s="45"/>
      <c r="Q82" s="45"/>
      <c r="R82" s="45"/>
      <c r="S82" s="44"/>
      <c r="T82" s="44"/>
      <c r="U82" s="45"/>
      <c r="V82" s="45"/>
      <c r="W82" s="45"/>
      <c r="X82" s="45"/>
      <c r="Y82" s="45"/>
      <c r="Z82" s="44"/>
      <c r="AA82" s="44"/>
      <c r="AB82" s="44"/>
      <c r="AC82" s="45"/>
      <c r="AD82" s="47"/>
      <c r="AE82" s="47"/>
      <c r="AF82" s="48"/>
      <c r="AG82" s="49"/>
    </row>
    <row r="83" spans="1:33" x14ac:dyDescent="0.25">
      <c r="A83" s="40"/>
      <c r="B83" s="41"/>
      <c r="C83" s="42"/>
      <c r="D83" s="41"/>
      <c r="E83" s="41"/>
      <c r="F83" s="41"/>
      <c r="G83" s="41"/>
      <c r="H83" s="41"/>
      <c r="I83" s="43"/>
      <c r="J83" s="44"/>
      <c r="K83" s="57" t="str">
        <f>IF(J83&lt;&gt;"",IF(VLOOKUP(J83,Taxons!A:C,2,FALSE)=0,"",VLOOKUP(J83,Taxons!A:C,2,FALSE)),"")</f>
        <v/>
      </c>
      <c r="L83" s="57" t="str">
        <f>IF(J83&lt;&gt;"",VLOOKUP(J83,Taxons!A:C,3,FALSE),"")</f>
        <v/>
      </c>
      <c r="M83" s="46"/>
      <c r="N83" s="44"/>
      <c r="O83" s="45"/>
      <c r="P83" s="45"/>
      <c r="Q83" s="45"/>
      <c r="R83" s="45"/>
      <c r="S83" s="44"/>
      <c r="T83" s="44"/>
      <c r="U83" s="45"/>
      <c r="V83" s="45"/>
      <c r="W83" s="45"/>
      <c r="X83" s="45"/>
      <c r="Y83" s="45"/>
      <c r="Z83" s="44"/>
      <c r="AA83" s="44"/>
      <c r="AB83" s="44"/>
      <c r="AC83" s="45"/>
      <c r="AD83" s="47"/>
      <c r="AE83" s="47"/>
      <c r="AF83" s="48"/>
      <c r="AG83" s="49"/>
    </row>
    <row r="84" spans="1:33" x14ac:dyDescent="0.25">
      <c r="A84" s="40"/>
      <c r="B84" s="41"/>
      <c r="C84" s="42"/>
      <c r="D84" s="41"/>
      <c r="E84" s="41"/>
      <c r="F84" s="41"/>
      <c r="G84" s="41"/>
      <c r="H84" s="41"/>
      <c r="I84" s="43"/>
      <c r="J84" s="44"/>
      <c r="K84" s="57" t="str">
        <f>IF(J84&lt;&gt;"",IF(VLOOKUP(J84,Taxons!A:C,2,FALSE)=0,"",VLOOKUP(J84,Taxons!A:C,2,FALSE)),"")</f>
        <v/>
      </c>
      <c r="L84" s="57" t="str">
        <f>IF(J84&lt;&gt;"",VLOOKUP(J84,Taxons!A:C,3,FALSE),"")</f>
        <v/>
      </c>
      <c r="M84" s="46"/>
      <c r="N84" s="44"/>
      <c r="O84" s="45"/>
      <c r="P84" s="45"/>
      <c r="Q84" s="45"/>
      <c r="R84" s="45"/>
      <c r="S84" s="44"/>
      <c r="T84" s="44"/>
      <c r="U84" s="45"/>
      <c r="V84" s="45"/>
      <c r="W84" s="45"/>
      <c r="X84" s="45"/>
      <c r="Y84" s="45"/>
      <c r="Z84" s="44"/>
      <c r="AA84" s="44"/>
      <c r="AB84" s="44"/>
      <c r="AC84" s="45"/>
      <c r="AD84" s="47"/>
      <c r="AE84" s="47"/>
      <c r="AF84" s="48"/>
      <c r="AG84" s="49"/>
    </row>
    <row r="85" spans="1:33" x14ac:dyDescent="0.25">
      <c r="A85" s="40"/>
      <c r="B85" s="41"/>
      <c r="C85" s="42"/>
      <c r="D85" s="41"/>
      <c r="E85" s="41"/>
      <c r="F85" s="41"/>
      <c r="G85" s="41"/>
      <c r="H85" s="41"/>
      <c r="I85" s="43"/>
      <c r="J85" s="44"/>
      <c r="K85" s="57" t="str">
        <f>IF(J85&lt;&gt;"",IF(VLOOKUP(J85,Taxons!A:C,2,FALSE)=0,"",VLOOKUP(J85,Taxons!A:C,2,FALSE)),"")</f>
        <v/>
      </c>
      <c r="L85" s="57" t="str">
        <f>IF(J85&lt;&gt;"",VLOOKUP(J85,Taxons!A:C,3,FALSE),"")</f>
        <v/>
      </c>
      <c r="M85" s="46"/>
      <c r="N85" s="44"/>
      <c r="O85" s="45"/>
      <c r="P85" s="45"/>
      <c r="Q85" s="45"/>
      <c r="R85" s="45"/>
      <c r="S85" s="44"/>
      <c r="T85" s="44"/>
      <c r="U85" s="45"/>
      <c r="V85" s="45"/>
      <c r="W85" s="45"/>
      <c r="X85" s="45"/>
      <c r="Y85" s="45"/>
      <c r="Z85" s="44"/>
      <c r="AA85" s="44"/>
      <c r="AB85" s="44"/>
      <c r="AC85" s="45"/>
      <c r="AD85" s="47"/>
      <c r="AE85" s="47"/>
      <c r="AF85" s="48"/>
      <c r="AG85" s="49"/>
    </row>
    <row r="86" spans="1:33" x14ac:dyDescent="0.25">
      <c r="A86" s="40"/>
      <c r="B86" s="41"/>
      <c r="C86" s="42"/>
      <c r="D86" s="41"/>
      <c r="E86" s="41"/>
      <c r="F86" s="41"/>
      <c r="G86" s="41"/>
      <c r="H86" s="41"/>
      <c r="I86" s="43"/>
      <c r="J86" s="44"/>
      <c r="K86" s="57" t="str">
        <f>IF(J86&lt;&gt;"",IF(VLOOKUP(J86,Taxons!A:C,2,FALSE)=0,"",VLOOKUP(J86,Taxons!A:C,2,FALSE)),"")</f>
        <v/>
      </c>
      <c r="L86" s="57" t="str">
        <f>IF(J86&lt;&gt;"",VLOOKUP(J86,Taxons!A:C,3,FALSE),"")</f>
        <v/>
      </c>
      <c r="M86" s="46"/>
      <c r="N86" s="44"/>
      <c r="O86" s="45"/>
      <c r="P86" s="45"/>
      <c r="Q86" s="45"/>
      <c r="R86" s="45"/>
      <c r="S86" s="44"/>
      <c r="T86" s="44"/>
      <c r="U86" s="45"/>
      <c r="V86" s="45"/>
      <c r="W86" s="45"/>
      <c r="X86" s="45"/>
      <c r="Y86" s="45"/>
      <c r="Z86" s="44"/>
      <c r="AA86" s="44"/>
      <c r="AB86" s="44"/>
      <c r="AC86" s="45"/>
      <c r="AD86" s="47"/>
      <c r="AE86" s="47"/>
      <c r="AF86" s="48"/>
      <c r="AG86" s="49"/>
    </row>
    <row r="87" spans="1:33" x14ac:dyDescent="0.25">
      <c r="A87" s="40"/>
      <c r="B87" s="41"/>
      <c r="C87" s="42"/>
      <c r="D87" s="41"/>
      <c r="E87" s="41"/>
      <c r="F87" s="41"/>
      <c r="G87" s="41"/>
      <c r="H87" s="41"/>
      <c r="I87" s="43"/>
      <c r="J87" s="44"/>
      <c r="K87" s="57" t="str">
        <f>IF(J87&lt;&gt;"",IF(VLOOKUP(J87,Taxons!A:C,2,FALSE)=0,"",VLOOKUP(J87,Taxons!A:C,2,FALSE)),"")</f>
        <v/>
      </c>
      <c r="L87" s="57" t="str">
        <f>IF(J87&lt;&gt;"",VLOOKUP(J87,Taxons!A:C,3,FALSE),"")</f>
        <v/>
      </c>
      <c r="M87" s="46"/>
      <c r="N87" s="44"/>
      <c r="O87" s="45"/>
      <c r="P87" s="45"/>
      <c r="Q87" s="45"/>
      <c r="R87" s="45"/>
      <c r="S87" s="44"/>
      <c r="T87" s="44"/>
      <c r="U87" s="45"/>
      <c r="V87" s="45"/>
      <c r="W87" s="45"/>
      <c r="X87" s="45"/>
      <c r="Y87" s="45"/>
      <c r="Z87" s="44"/>
      <c r="AA87" s="44"/>
      <c r="AB87" s="44"/>
      <c r="AC87" s="45"/>
      <c r="AD87" s="47"/>
      <c r="AE87" s="47"/>
      <c r="AF87" s="48"/>
      <c r="AG87" s="49"/>
    </row>
    <row r="88" spans="1:33" x14ac:dyDescent="0.25">
      <c r="A88" s="40"/>
      <c r="B88" s="41"/>
      <c r="C88" s="42"/>
      <c r="D88" s="41"/>
      <c r="E88" s="41"/>
      <c r="F88" s="41"/>
      <c r="G88" s="41"/>
      <c r="H88" s="41"/>
      <c r="I88" s="43"/>
      <c r="J88" s="44"/>
      <c r="K88" s="57" t="str">
        <f>IF(J88&lt;&gt;"",IF(VLOOKUP(J88,Taxons!A:C,2,FALSE)=0,"",VLOOKUP(J88,Taxons!A:C,2,FALSE)),"")</f>
        <v/>
      </c>
      <c r="L88" s="57" t="str">
        <f>IF(J88&lt;&gt;"",VLOOKUP(J88,Taxons!A:C,3,FALSE),"")</f>
        <v/>
      </c>
      <c r="M88" s="46"/>
      <c r="N88" s="44"/>
      <c r="O88" s="45"/>
      <c r="P88" s="45"/>
      <c r="Q88" s="45"/>
      <c r="R88" s="45"/>
      <c r="S88" s="44"/>
      <c r="T88" s="44"/>
      <c r="U88" s="45"/>
      <c r="V88" s="45"/>
      <c r="W88" s="45"/>
      <c r="X88" s="45"/>
      <c r="Y88" s="45"/>
      <c r="Z88" s="44"/>
      <c r="AA88" s="44"/>
      <c r="AB88" s="44"/>
      <c r="AC88" s="45"/>
      <c r="AD88" s="47"/>
      <c r="AE88" s="47"/>
      <c r="AF88" s="48"/>
      <c r="AG88" s="49"/>
    </row>
    <row r="89" spans="1:33" x14ac:dyDescent="0.25">
      <c r="A89" s="40"/>
      <c r="B89" s="41"/>
      <c r="C89" s="42"/>
      <c r="D89" s="41"/>
      <c r="E89" s="41"/>
      <c r="F89" s="41"/>
      <c r="G89" s="41"/>
      <c r="H89" s="41"/>
      <c r="I89" s="43"/>
      <c r="J89" s="44"/>
      <c r="K89" s="57" t="str">
        <f>IF(J89&lt;&gt;"",IF(VLOOKUP(J89,Taxons!A:C,2,FALSE)=0,"",VLOOKUP(J89,Taxons!A:C,2,FALSE)),"")</f>
        <v/>
      </c>
      <c r="L89" s="57" t="str">
        <f>IF(J89&lt;&gt;"",VLOOKUP(J89,Taxons!A:C,3,FALSE),"")</f>
        <v/>
      </c>
      <c r="M89" s="46"/>
      <c r="N89" s="44"/>
      <c r="O89" s="45"/>
      <c r="P89" s="45"/>
      <c r="Q89" s="45"/>
      <c r="R89" s="45"/>
      <c r="S89" s="44"/>
      <c r="T89" s="44"/>
      <c r="U89" s="45"/>
      <c r="V89" s="45"/>
      <c r="W89" s="45"/>
      <c r="X89" s="45"/>
      <c r="Y89" s="45"/>
      <c r="Z89" s="44"/>
      <c r="AA89" s="44"/>
      <c r="AB89" s="44"/>
      <c r="AC89" s="45"/>
      <c r="AD89" s="47"/>
      <c r="AE89" s="47"/>
      <c r="AF89" s="48"/>
      <c r="AG89" s="49"/>
    </row>
    <row r="90" spans="1:33" x14ac:dyDescent="0.25">
      <c r="A90" s="40"/>
      <c r="B90" s="41"/>
      <c r="C90" s="42"/>
      <c r="D90" s="41"/>
      <c r="E90" s="41"/>
      <c r="F90" s="41"/>
      <c r="G90" s="41"/>
      <c r="H90" s="41"/>
      <c r="I90" s="43"/>
      <c r="J90" s="44"/>
      <c r="K90" s="57" t="str">
        <f>IF(J90&lt;&gt;"",IF(VLOOKUP(J90,Taxons!A:C,2,FALSE)=0,"",VLOOKUP(J90,Taxons!A:C,2,FALSE)),"")</f>
        <v/>
      </c>
      <c r="L90" s="57" t="str">
        <f>IF(J90&lt;&gt;"",VLOOKUP(J90,Taxons!A:C,3,FALSE),"")</f>
        <v/>
      </c>
      <c r="M90" s="46"/>
      <c r="N90" s="44"/>
      <c r="O90" s="45"/>
      <c r="P90" s="45"/>
      <c r="Q90" s="45"/>
      <c r="R90" s="45"/>
      <c r="S90" s="44"/>
      <c r="T90" s="44"/>
      <c r="U90" s="45"/>
      <c r="V90" s="45"/>
      <c r="W90" s="45"/>
      <c r="X90" s="45"/>
      <c r="Y90" s="45"/>
      <c r="Z90" s="44"/>
      <c r="AA90" s="44"/>
      <c r="AB90" s="44"/>
      <c r="AC90" s="45"/>
      <c r="AD90" s="47"/>
      <c r="AE90" s="47"/>
      <c r="AF90" s="48"/>
      <c r="AG90" s="49"/>
    </row>
    <row r="91" spans="1:33" x14ac:dyDescent="0.25">
      <c r="A91" s="40"/>
      <c r="B91" s="41"/>
      <c r="C91" s="42"/>
      <c r="D91" s="41"/>
      <c r="E91" s="41"/>
      <c r="F91" s="41"/>
      <c r="G91" s="41"/>
      <c r="H91" s="41"/>
      <c r="I91" s="43"/>
      <c r="J91" s="44"/>
      <c r="K91" s="57" t="str">
        <f>IF(J91&lt;&gt;"",IF(VLOOKUP(J91,Taxons!A:C,2,FALSE)=0,"",VLOOKUP(J91,Taxons!A:C,2,FALSE)),"")</f>
        <v/>
      </c>
      <c r="L91" s="57" t="str">
        <f>IF(J91&lt;&gt;"",VLOOKUP(J91,Taxons!A:C,3,FALSE),"")</f>
        <v/>
      </c>
      <c r="M91" s="46"/>
      <c r="N91" s="44"/>
      <c r="O91" s="45"/>
      <c r="P91" s="45"/>
      <c r="Q91" s="45"/>
      <c r="R91" s="45"/>
      <c r="S91" s="44"/>
      <c r="T91" s="44"/>
      <c r="U91" s="45"/>
      <c r="V91" s="45"/>
      <c r="W91" s="45"/>
      <c r="X91" s="45"/>
      <c r="Y91" s="45"/>
      <c r="Z91" s="44"/>
      <c r="AA91" s="44"/>
      <c r="AB91" s="44"/>
      <c r="AC91" s="45"/>
      <c r="AD91" s="47"/>
      <c r="AE91" s="47"/>
      <c r="AF91" s="48"/>
      <c r="AG91" s="49"/>
    </row>
    <row r="92" spans="1:33" x14ac:dyDescent="0.25">
      <c r="A92" s="40"/>
      <c r="B92" s="41"/>
      <c r="C92" s="42"/>
      <c r="D92" s="41"/>
      <c r="E92" s="41"/>
      <c r="F92" s="41"/>
      <c r="G92" s="41"/>
      <c r="H92" s="41"/>
      <c r="I92" s="43"/>
      <c r="J92" s="44"/>
      <c r="K92" s="57" t="str">
        <f>IF(J92&lt;&gt;"",IF(VLOOKUP(J92,Taxons!A:C,2,FALSE)=0,"",VLOOKUP(J92,Taxons!A:C,2,FALSE)),"")</f>
        <v/>
      </c>
      <c r="L92" s="57" t="str">
        <f>IF(J92&lt;&gt;"",VLOOKUP(J92,Taxons!A:C,3,FALSE),"")</f>
        <v/>
      </c>
      <c r="M92" s="46"/>
      <c r="N92" s="44"/>
      <c r="O92" s="45"/>
      <c r="P92" s="45"/>
      <c r="Q92" s="45"/>
      <c r="R92" s="45"/>
      <c r="S92" s="44"/>
      <c r="T92" s="44"/>
      <c r="U92" s="45"/>
      <c r="V92" s="45"/>
      <c r="W92" s="45"/>
      <c r="X92" s="45"/>
      <c r="Y92" s="45"/>
      <c r="Z92" s="44"/>
      <c r="AA92" s="44"/>
      <c r="AB92" s="44"/>
      <c r="AC92" s="45"/>
      <c r="AD92" s="47"/>
      <c r="AE92" s="47"/>
      <c r="AF92" s="48"/>
      <c r="AG92" s="49"/>
    </row>
    <row r="93" spans="1:33" x14ac:dyDescent="0.25">
      <c r="A93" s="40"/>
      <c r="B93" s="41"/>
      <c r="C93" s="42"/>
      <c r="D93" s="41"/>
      <c r="E93" s="41"/>
      <c r="F93" s="41"/>
      <c r="G93" s="41"/>
      <c r="H93" s="41"/>
      <c r="I93" s="43"/>
      <c r="J93" s="44"/>
      <c r="K93" s="57" t="str">
        <f>IF(J93&lt;&gt;"",IF(VLOOKUP(J93,Taxons!A:C,2,FALSE)=0,"",VLOOKUP(J93,Taxons!A:C,2,FALSE)),"")</f>
        <v/>
      </c>
      <c r="L93" s="57" t="str">
        <f>IF(J93&lt;&gt;"",VLOOKUP(J93,Taxons!A:C,3,FALSE),"")</f>
        <v/>
      </c>
      <c r="M93" s="46"/>
      <c r="N93" s="44"/>
      <c r="O93" s="45"/>
      <c r="P93" s="45"/>
      <c r="Q93" s="45"/>
      <c r="R93" s="45"/>
      <c r="S93" s="44"/>
      <c r="T93" s="44"/>
      <c r="U93" s="45"/>
      <c r="V93" s="45"/>
      <c r="W93" s="45"/>
      <c r="X93" s="45"/>
      <c r="Y93" s="45"/>
      <c r="Z93" s="44"/>
      <c r="AA93" s="44"/>
      <c r="AB93" s="44"/>
      <c r="AC93" s="45"/>
      <c r="AD93" s="47"/>
      <c r="AE93" s="47"/>
      <c r="AF93" s="48"/>
      <c r="AG93" s="49"/>
    </row>
    <row r="94" spans="1:33" x14ac:dyDescent="0.25">
      <c r="A94" s="40"/>
      <c r="B94" s="41"/>
      <c r="C94" s="42"/>
      <c r="D94" s="41"/>
      <c r="E94" s="41"/>
      <c r="F94" s="41"/>
      <c r="G94" s="41"/>
      <c r="H94" s="41"/>
      <c r="I94" s="43"/>
      <c r="J94" s="44"/>
      <c r="K94" s="57" t="str">
        <f>IF(J94&lt;&gt;"",IF(VLOOKUP(J94,Taxons!A:C,2,FALSE)=0,"",VLOOKUP(J94,Taxons!A:C,2,FALSE)),"")</f>
        <v/>
      </c>
      <c r="L94" s="57" t="str">
        <f>IF(J94&lt;&gt;"",VLOOKUP(J94,Taxons!A:C,3,FALSE),"")</f>
        <v/>
      </c>
      <c r="M94" s="46"/>
      <c r="N94" s="44"/>
      <c r="O94" s="45"/>
      <c r="P94" s="45"/>
      <c r="Q94" s="45"/>
      <c r="R94" s="45"/>
      <c r="S94" s="44"/>
      <c r="T94" s="44"/>
      <c r="U94" s="45"/>
      <c r="V94" s="45"/>
      <c r="W94" s="45"/>
      <c r="X94" s="45"/>
      <c r="Y94" s="45"/>
      <c r="Z94" s="44"/>
      <c r="AA94" s="44"/>
      <c r="AB94" s="44"/>
      <c r="AC94" s="45"/>
      <c r="AD94" s="47"/>
      <c r="AE94" s="47"/>
      <c r="AF94" s="48"/>
      <c r="AG94" s="49"/>
    </row>
    <row r="95" spans="1:33" x14ac:dyDescent="0.25">
      <c r="A95" s="40"/>
      <c r="B95" s="41"/>
      <c r="C95" s="42"/>
      <c r="D95" s="41"/>
      <c r="E95" s="41"/>
      <c r="F95" s="41"/>
      <c r="G95" s="41"/>
      <c r="H95" s="41"/>
      <c r="I95" s="43"/>
      <c r="J95" s="44"/>
      <c r="K95" s="57" t="str">
        <f>IF(J95&lt;&gt;"",IF(VLOOKUP(J95,Taxons!A:C,2,FALSE)=0,"",VLOOKUP(J95,Taxons!A:C,2,FALSE)),"")</f>
        <v/>
      </c>
      <c r="L95" s="57" t="str">
        <f>IF(J95&lt;&gt;"",VLOOKUP(J95,Taxons!A:C,3,FALSE),"")</f>
        <v/>
      </c>
      <c r="M95" s="46"/>
      <c r="N95" s="44"/>
      <c r="O95" s="45"/>
      <c r="P95" s="45"/>
      <c r="Q95" s="45"/>
      <c r="R95" s="45"/>
      <c r="S95" s="44"/>
      <c r="T95" s="44"/>
      <c r="U95" s="45"/>
      <c r="V95" s="45"/>
      <c r="W95" s="45"/>
      <c r="X95" s="45"/>
      <c r="Y95" s="45"/>
      <c r="Z95" s="44"/>
      <c r="AA95" s="44"/>
      <c r="AB95" s="44"/>
      <c r="AC95" s="45"/>
      <c r="AD95" s="47"/>
      <c r="AE95" s="47"/>
      <c r="AF95" s="48"/>
      <c r="AG95" s="49"/>
    </row>
    <row r="96" spans="1:33" x14ac:dyDescent="0.25">
      <c r="A96" s="40"/>
      <c r="B96" s="41"/>
      <c r="C96" s="42"/>
      <c r="D96" s="41"/>
      <c r="E96" s="41"/>
      <c r="F96" s="41"/>
      <c r="G96" s="41"/>
      <c r="H96" s="41"/>
      <c r="I96" s="43"/>
      <c r="J96" s="44"/>
      <c r="K96" s="57" t="str">
        <f>IF(J96&lt;&gt;"",IF(VLOOKUP(J96,Taxons!A:C,2,FALSE)=0,"",VLOOKUP(J96,Taxons!A:C,2,FALSE)),"")</f>
        <v/>
      </c>
      <c r="L96" s="57" t="str">
        <f>IF(J96&lt;&gt;"",VLOOKUP(J96,Taxons!A:C,3,FALSE),"")</f>
        <v/>
      </c>
      <c r="M96" s="46"/>
      <c r="N96" s="44"/>
      <c r="O96" s="45"/>
      <c r="P96" s="45"/>
      <c r="Q96" s="45"/>
      <c r="R96" s="45"/>
      <c r="S96" s="44"/>
      <c r="T96" s="44"/>
      <c r="U96" s="45"/>
      <c r="V96" s="45"/>
      <c r="W96" s="45"/>
      <c r="X96" s="45"/>
      <c r="Y96" s="45"/>
      <c r="Z96" s="44"/>
      <c r="AA96" s="44"/>
      <c r="AB96" s="44"/>
      <c r="AC96" s="45"/>
      <c r="AD96" s="47"/>
      <c r="AE96" s="47"/>
      <c r="AF96" s="48"/>
      <c r="AG96" s="49"/>
    </row>
    <row r="97" spans="1:33" x14ac:dyDescent="0.25">
      <c r="A97" s="40"/>
      <c r="B97" s="41"/>
      <c r="C97" s="42"/>
      <c r="D97" s="41"/>
      <c r="E97" s="41"/>
      <c r="F97" s="41"/>
      <c r="G97" s="41"/>
      <c r="H97" s="41"/>
      <c r="I97" s="43"/>
      <c r="J97" s="44"/>
      <c r="K97" s="57" t="str">
        <f>IF(J97&lt;&gt;"",IF(VLOOKUP(J97,Taxons!A:C,2,FALSE)=0,"",VLOOKUP(J97,Taxons!A:C,2,FALSE)),"")</f>
        <v/>
      </c>
      <c r="L97" s="57" t="str">
        <f>IF(J97&lt;&gt;"",VLOOKUP(J97,Taxons!A:C,3,FALSE),"")</f>
        <v/>
      </c>
      <c r="M97" s="46"/>
      <c r="N97" s="44"/>
      <c r="O97" s="45"/>
      <c r="P97" s="45"/>
      <c r="Q97" s="45"/>
      <c r="R97" s="45"/>
      <c r="S97" s="44"/>
      <c r="T97" s="44"/>
      <c r="U97" s="45"/>
      <c r="V97" s="45"/>
      <c r="W97" s="45"/>
      <c r="X97" s="45"/>
      <c r="Y97" s="45"/>
      <c r="Z97" s="44"/>
      <c r="AA97" s="44"/>
      <c r="AB97" s="44"/>
      <c r="AC97" s="45"/>
      <c r="AD97" s="47"/>
      <c r="AE97" s="47"/>
      <c r="AF97" s="48"/>
      <c r="AG97" s="49"/>
    </row>
    <row r="98" spans="1:33" x14ac:dyDescent="0.25">
      <c r="A98" s="40"/>
      <c r="B98" s="41"/>
      <c r="C98" s="42"/>
      <c r="D98" s="41"/>
      <c r="E98" s="41"/>
      <c r="F98" s="41"/>
      <c r="G98" s="41"/>
      <c r="H98" s="41"/>
      <c r="I98" s="43"/>
      <c r="J98" s="44"/>
      <c r="K98" s="57" t="str">
        <f>IF(J98&lt;&gt;"",IF(VLOOKUP(J98,Taxons!A:C,2,FALSE)=0,"",VLOOKUP(J98,Taxons!A:C,2,FALSE)),"")</f>
        <v/>
      </c>
      <c r="L98" s="57" t="str">
        <f>IF(J98&lt;&gt;"",VLOOKUP(J98,Taxons!A:C,3,FALSE),"")</f>
        <v/>
      </c>
      <c r="M98" s="46"/>
      <c r="N98" s="44"/>
      <c r="O98" s="45"/>
      <c r="P98" s="45"/>
      <c r="Q98" s="45"/>
      <c r="R98" s="45"/>
      <c r="S98" s="44"/>
      <c r="T98" s="44"/>
      <c r="U98" s="45"/>
      <c r="V98" s="45"/>
      <c r="W98" s="45"/>
      <c r="X98" s="45"/>
      <c r="Y98" s="45"/>
      <c r="Z98" s="44"/>
      <c r="AA98" s="44"/>
      <c r="AB98" s="44"/>
      <c r="AC98" s="45"/>
      <c r="AD98" s="47"/>
      <c r="AE98" s="47"/>
      <c r="AF98" s="48"/>
      <c r="AG98" s="49"/>
    </row>
    <row r="99" spans="1:33" x14ac:dyDescent="0.25">
      <c r="A99" s="40"/>
      <c r="B99" s="41"/>
      <c r="C99" s="42"/>
      <c r="D99" s="41"/>
      <c r="E99" s="41"/>
      <c r="F99" s="41"/>
      <c r="G99" s="41"/>
      <c r="H99" s="41"/>
      <c r="I99" s="43"/>
      <c r="J99" s="44"/>
      <c r="K99" s="57" t="str">
        <f>IF(J99&lt;&gt;"",IF(VLOOKUP(J99,Taxons!A:C,2,FALSE)=0,"",VLOOKUP(J99,Taxons!A:C,2,FALSE)),"")</f>
        <v/>
      </c>
      <c r="L99" s="57" t="str">
        <f>IF(J99&lt;&gt;"",VLOOKUP(J99,Taxons!A:C,3,FALSE),"")</f>
        <v/>
      </c>
      <c r="M99" s="46"/>
      <c r="N99" s="44"/>
      <c r="O99" s="45"/>
      <c r="P99" s="45"/>
      <c r="Q99" s="45"/>
      <c r="R99" s="45"/>
      <c r="S99" s="44"/>
      <c r="T99" s="44"/>
      <c r="U99" s="45"/>
      <c r="V99" s="45"/>
      <c r="W99" s="45"/>
      <c r="X99" s="45"/>
      <c r="Y99" s="45"/>
      <c r="Z99" s="44"/>
      <c r="AA99" s="44"/>
      <c r="AB99" s="44"/>
      <c r="AC99" s="45"/>
      <c r="AD99" s="47"/>
      <c r="AE99" s="47"/>
      <c r="AF99" s="48"/>
      <c r="AG99" s="49"/>
    </row>
    <row r="100" spans="1:33" x14ac:dyDescent="0.25">
      <c r="A100" s="40"/>
      <c r="B100" s="41"/>
      <c r="C100" s="42"/>
      <c r="D100" s="41"/>
      <c r="E100" s="41"/>
      <c r="F100" s="41"/>
      <c r="G100" s="41"/>
      <c r="H100" s="41"/>
      <c r="I100" s="43"/>
      <c r="J100" s="44"/>
      <c r="K100" s="57" t="str">
        <f>IF(J100&lt;&gt;"",IF(VLOOKUP(J100,Taxons!A:C,2,FALSE)=0,"",VLOOKUP(J100,Taxons!A:C,2,FALSE)),"")</f>
        <v/>
      </c>
      <c r="L100" s="57" t="str">
        <f>IF(J100&lt;&gt;"",VLOOKUP(J100,Taxons!A:C,3,FALSE),"")</f>
        <v/>
      </c>
      <c r="M100" s="46"/>
      <c r="N100" s="44"/>
      <c r="O100" s="45"/>
      <c r="P100" s="45"/>
      <c r="Q100" s="45"/>
      <c r="R100" s="45"/>
      <c r="S100" s="44"/>
      <c r="T100" s="44"/>
      <c r="U100" s="45"/>
      <c r="V100" s="45"/>
      <c r="W100" s="45"/>
      <c r="X100" s="45"/>
      <c r="Y100" s="45"/>
      <c r="Z100" s="44"/>
      <c r="AA100" s="44"/>
      <c r="AB100" s="44"/>
      <c r="AC100" s="45"/>
      <c r="AD100" s="47"/>
      <c r="AE100" s="47"/>
      <c r="AF100" s="48"/>
      <c r="AG100" s="49"/>
    </row>
    <row r="101" spans="1:33" x14ac:dyDescent="0.25">
      <c r="A101" s="40"/>
      <c r="B101" s="41"/>
      <c r="C101" s="42"/>
      <c r="D101" s="41"/>
      <c r="E101" s="41"/>
      <c r="F101" s="41"/>
      <c r="G101" s="41"/>
      <c r="H101" s="41"/>
      <c r="I101" s="43"/>
      <c r="J101" s="44"/>
      <c r="K101" s="57" t="str">
        <f>IF(J101&lt;&gt;"",IF(VLOOKUP(J101,Taxons!A:C,2,FALSE)=0,"",VLOOKUP(J101,Taxons!A:C,2,FALSE)),"")</f>
        <v/>
      </c>
      <c r="L101" s="57" t="str">
        <f>IF(J101&lt;&gt;"",VLOOKUP(J101,Taxons!A:C,3,FALSE),"")</f>
        <v/>
      </c>
      <c r="M101" s="46"/>
      <c r="N101" s="44"/>
      <c r="O101" s="45"/>
      <c r="P101" s="45"/>
      <c r="Q101" s="45"/>
      <c r="R101" s="45"/>
      <c r="S101" s="44"/>
      <c r="T101" s="44"/>
      <c r="U101" s="45"/>
      <c r="V101" s="45"/>
      <c r="W101" s="45"/>
      <c r="X101" s="45"/>
      <c r="Y101" s="45"/>
      <c r="Z101" s="44"/>
      <c r="AA101" s="44"/>
      <c r="AB101" s="44"/>
      <c r="AC101" s="45"/>
      <c r="AD101" s="47"/>
      <c r="AE101" s="47"/>
      <c r="AF101" s="48"/>
      <c r="AG101" s="49"/>
    </row>
    <row r="102" spans="1:33" x14ac:dyDescent="0.25">
      <c r="A102" s="40"/>
      <c r="B102" s="41"/>
      <c r="C102" s="42"/>
      <c r="D102" s="41"/>
      <c r="E102" s="41"/>
      <c r="F102" s="41"/>
      <c r="G102" s="41"/>
      <c r="H102" s="41"/>
      <c r="I102" s="43"/>
      <c r="J102" s="44"/>
      <c r="K102" s="57" t="str">
        <f>IF(J102&lt;&gt;"",IF(VLOOKUP(J102,Taxons!A:C,2,FALSE)=0,"",VLOOKUP(J102,Taxons!A:C,2,FALSE)),"")</f>
        <v/>
      </c>
      <c r="L102" s="57" t="str">
        <f>IF(J102&lt;&gt;"",VLOOKUP(J102,Taxons!A:C,3,FALSE),"")</f>
        <v/>
      </c>
      <c r="M102" s="46"/>
      <c r="N102" s="44"/>
      <c r="O102" s="45"/>
      <c r="P102" s="45"/>
      <c r="Q102" s="45"/>
      <c r="R102" s="45"/>
      <c r="S102" s="44"/>
      <c r="T102" s="44"/>
      <c r="U102" s="45"/>
      <c r="V102" s="45"/>
      <c r="W102" s="45"/>
      <c r="X102" s="45"/>
      <c r="Y102" s="45"/>
      <c r="Z102" s="44"/>
      <c r="AA102" s="44"/>
      <c r="AB102" s="44"/>
      <c r="AC102" s="45"/>
      <c r="AD102" s="47"/>
      <c r="AE102" s="47"/>
      <c r="AF102" s="48"/>
      <c r="AG102" s="49"/>
    </row>
    <row r="103" spans="1:33" x14ac:dyDescent="0.25">
      <c r="A103" s="40"/>
      <c r="B103" s="41"/>
      <c r="C103" s="42"/>
      <c r="D103" s="41"/>
      <c r="E103" s="41"/>
      <c r="F103" s="41"/>
      <c r="G103" s="41"/>
      <c r="H103" s="41"/>
      <c r="I103" s="43"/>
      <c r="J103" s="44"/>
      <c r="K103" s="57" t="str">
        <f>IF(J103&lt;&gt;"",IF(VLOOKUP(J103,Taxons!A:C,2,FALSE)=0,"",VLOOKUP(J103,Taxons!A:C,2,FALSE)),"")</f>
        <v/>
      </c>
      <c r="L103" s="57" t="str">
        <f>IF(J103&lt;&gt;"",VLOOKUP(J103,Taxons!A:C,3,FALSE),"")</f>
        <v/>
      </c>
      <c r="M103" s="46"/>
      <c r="N103" s="44"/>
      <c r="O103" s="45"/>
      <c r="P103" s="45"/>
      <c r="Q103" s="45"/>
      <c r="R103" s="45"/>
      <c r="S103" s="44"/>
      <c r="T103" s="44"/>
      <c r="U103" s="45"/>
      <c r="V103" s="45"/>
      <c r="W103" s="45"/>
      <c r="X103" s="45"/>
      <c r="Y103" s="45"/>
      <c r="Z103" s="44"/>
      <c r="AA103" s="44"/>
      <c r="AB103" s="44"/>
      <c r="AC103" s="45"/>
      <c r="AD103" s="47"/>
      <c r="AE103" s="47"/>
      <c r="AF103" s="48"/>
      <c r="AG103" s="49"/>
    </row>
    <row r="104" spans="1:33" x14ac:dyDescent="0.25">
      <c r="A104" s="40"/>
      <c r="B104" s="41"/>
      <c r="C104" s="42"/>
      <c r="D104" s="41"/>
      <c r="E104" s="41"/>
      <c r="F104" s="41"/>
      <c r="G104" s="41"/>
      <c r="H104" s="41"/>
      <c r="I104" s="43"/>
      <c r="J104" s="44"/>
      <c r="K104" s="57" t="str">
        <f>IF(J104&lt;&gt;"",IF(VLOOKUP(J104,Taxons!A:C,2,FALSE)=0,"",VLOOKUP(J104,Taxons!A:C,2,FALSE)),"")</f>
        <v/>
      </c>
      <c r="L104" s="57" t="str">
        <f>IF(J104&lt;&gt;"",VLOOKUP(J104,Taxons!A:C,3,FALSE),"")</f>
        <v/>
      </c>
      <c r="M104" s="46"/>
      <c r="N104" s="44"/>
      <c r="O104" s="45"/>
      <c r="P104" s="45"/>
      <c r="Q104" s="45"/>
      <c r="R104" s="45"/>
      <c r="S104" s="44"/>
      <c r="T104" s="44"/>
      <c r="U104" s="45"/>
      <c r="V104" s="45"/>
      <c r="W104" s="45"/>
      <c r="X104" s="45"/>
      <c r="Y104" s="45"/>
      <c r="Z104" s="44"/>
      <c r="AA104" s="44"/>
      <c r="AB104" s="44"/>
      <c r="AC104" s="45"/>
      <c r="AD104" s="47"/>
      <c r="AE104" s="47"/>
      <c r="AF104" s="48"/>
      <c r="AG104" s="49"/>
    </row>
    <row r="105" spans="1:33" x14ac:dyDescent="0.25">
      <c r="A105" s="40"/>
      <c r="B105" s="41"/>
      <c r="C105" s="42"/>
      <c r="D105" s="41"/>
      <c r="E105" s="41"/>
      <c r="F105" s="41"/>
      <c r="G105" s="41"/>
      <c r="H105" s="41"/>
      <c r="I105" s="43"/>
      <c r="J105" s="44"/>
      <c r="K105" s="57" t="str">
        <f>IF(J105&lt;&gt;"",IF(VLOOKUP(J105,Taxons!A:C,2,FALSE)=0,"",VLOOKUP(J105,Taxons!A:C,2,FALSE)),"")</f>
        <v/>
      </c>
      <c r="L105" s="57" t="str">
        <f>IF(J105&lt;&gt;"",VLOOKUP(J105,Taxons!A:C,3,FALSE),"")</f>
        <v/>
      </c>
      <c r="M105" s="46"/>
      <c r="N105" s="44"/>
      <c r="O105" s="45"/>
      <c r="P105" s="45"/>
      <c r="Q105" s="45"/>
      <c r="R105" s="45"/>
      <c r="S105" s="44"/>
      <c r="T105" s="44"/>
      <c r="U105" s="45"/>
      <c r="V105" s="45"/>
      <c r="W105" s="45"/>
      <c r="X105" s="45"/>
      <c r="Y105" s="45"/>
      <c r="Z105" s="44"/>
      <c r="AA105" s="44"/>
      <c r="AB105" s="44"/>
      <c r="AC105" s="45"/>
      <c r="AD105" s="47"/>
      <c r="AE105" s="47"/>
      <c r="AF105" s="48"/>
      <c r="AG105" s="49"/>
    </row>
    <row r="106" spans="1:33" x14ac:dyDescent="0.25">
      <c r="A106" s="40"/>
      <c r="B106" s="41"/>
      <c r="C106" s="42"/>
      <c r="D106" s="41"/>
      <c r="E106" s="41"/>
      <c r="F106" s="41"/>
      <c r="G106" s="41"/>
      <c r="H106" s="41"/>
      <c r="I106" s="43"/>
      <c r="J106" s="44"/>
      <c r="K106" s="57" t="str">
        <f>IF(J106&lt;&gt;"",IF(VLOOKUP(J106,Taxons!A:C,2,FALSE)=0,"",VLOOKUP(J106,Taxons!A:C,2,FALSE)),"")</f>
        <v/>
      </c>
      <c r="L106" s="57" t="str">
        <f>IF(J106&lt;&gt;"",VLOOKUP(J106,Taxons!A:C,3,FALSE),"")</f>
        <v/>
      </c>
      <c r="M106" s="46"/>
      <c r="N106" s="44"/>
      <c r="O106" s="45"/>
      <c r="P106" s="45"/>
      <c r="Q106" s="45"/>
      <c r="R106" s="45"/>
      <c r="S106" s="44"/>
      <c r="T106" s="44"/>
      <c r="U106" s="45"/>
      <c r="V106" s="45"/>
      <c r="W106" s="45"/>
      <c r="X106" s="45"/>
      <c r="Y106" s="45"/>
      <c r="Z106" s="44"/>
      <c r="AA106" s="44"/>
      <c r="AB106" s="44"/>
      <c r="AC106" s="45"/>
      <c r="AD106" s="47"/>
      <c r="AE106" s="47"/>
      <c r="AF106" s="48"/>
      <c r="AG106" s="49"/>
    </row>
    <row r="107" spans="1:33" x14ac:dyDescent="0.25">
      <c r="A107" s="40"/>
      <c r="B107" s="41"/>
      <c r="C107" s="42"/>
      <c r="D107" s="41"/>
      <c r="E107" s="41"/>
      <c r="F107" s="41"/>
      <c r="G107" s="41"/>
      <c r="H107" s="41"/>
      <c r="I107" s="43"/>
      <c r="J107" s="44"/>
      <c r="K107" s="57" t="str">
        <f>IF(J107&lt;&gt;"",IF(VLOOKUP(J107,Taxons!A:C,2,FALSE)=0,"",VLOOKUP(J107,Taxons!A:C,2,FALSE)),"")</f>
        <v/>
      </c>
      <c r="L107" s="57" t="str">
        <f>IF(J107&lt;&gt;"",VLOOKUP(J107,Taxons!A:C,3,FALSE),"")</f>
        <v/>
      </c>
      <c r="M107" s="46"/>
      <c r="N107" s="44"/>
      <c r="O107" s="45"/>
      <c r="P107" s="45"/>
      <c r="Q107" s="45"/>
      <c r="R107" s="45"/>
      <c r="S107" s="44"/>
      <c r="T107" s="44"/>
      <c r="U107" s="45"/>
      <c r="V107" s="45"/>
      <c r="W107" s="45"/>
      <c r="X107" s="45"/>
      <c r="Y107" s="45"/>
      <c r="Z107" s="44"/>
      <c r="AA107" s="44"/>
      <c r="AB107" s="44"/>
      <c r="AC107" s="45"/>
      <c r="AD107" s="47"/>
      <c r="AE107" s="47"/>
      <c r="AF107" s="48"/>
      <c r="AG107" s="49"/>
    </row>
    <row r="108" spans="1:33" x14ac:dyDescent="0.25">
      <c r="A108" s="40"/>
      <c r="B108" s="41"/>
      <c r="C108" s="42"/>
      <c r="D108" s="41"/>
      <c r="E108" s="41"/>
      <c r="F108" s="41"/>
      <c r="G108" s="41"/>
      <c r="H108" s="41"/>
      <c r="I108" s="43"/>
      <c r="J108" s="44"/>
      <c r="K108" s="57" t="str">
        <f>IF(J108&lt;&gt;"",IF(VLOOKUP(J108,Taxons!A:C,2,FALSE)=0,"",VLOOKUP(J108,Taxons!A:C,2,FALSE)),"")</f>
        <v/>
      </c>
      <c r="L108" s="57" t="str">
        <f>IF(J108&lt;&gt;"",VLOOKUP(J108,Taxons!A:C,3,FALSE),"")</f>
        <v/>
      </c>
      <c r="M108" s="46"/>
      <c r="N108" s="44"/>
      <c r="O108" s="45"/>
      <c r="P108" s="45"/>
      <c r="Q108" s="45"/>
      <c r="R108" s="45"/>
      <c r="S108" s="44"/>
      <c r="T108" s="44"/>
      <c r="U108" s="45"/>
      <c r="V108" s="45"/>
      <c r="W108" s="45"/>
      <c r="X108" s="45"/>
      <c r="Y108" s="45"/>
      <c r="Z108" s="44"/>
      <c r="AA108" s="44"/>
      <c r="AB108" s="44"/>
      <c r="AC108" s="45"/>
      <c r="AD108" s="47"/>
      <c r="AE108" s="47"/>
      <c r="AF108" s="48"/>
      <c r="AG108" s="49"/>
    </row>
    <row r="109" spans="1:33" x14ac:dyDescent="0.25">
      <c r="A109" s="40"/>
      <c r="B109" s="41"/>
      <c r="C109" s="42"/>
      <c r="D109" s="41"/>
      <c r="E109" s="41"/>
      <c r="F109" s="41"/>
      <c r="G109" s="41"/>
      <c r="H109" s="41"/>
      <c r="I109" s="43"/>
      <c r="J109" s="44"/>
      <c r="K109" s="57" t="str">
        <f>IF(J109&lt;&gt;"",IF(VLOOKUP(J109,Taxons!A:C,2,FALSE)=0,"",VLOOKUP(J109,Taxons!A:C,2,FALSE)),"")</f>
        <v/>
      </c>
      <c r="L109" s="57" t="str">
        <f>IF(J109&lt;&gt;"",VLOOKUP(J109,Taxons!A:C,3,FALSE),"")</f>
        <v/>
      </c>
      <c r="M109" s="46"/>
      <c r="N109" s="44"/>
      <c r="O109" s="45"/>
      <c r="P109" s="45"/>
      <c r="Q109" s="45"/>
      <c r="R109" s="45"/>
      <c r="S109" s="44"/>
      <c r="T109" s="44"/>
      <c r="U109" s="45"/>
      <c r="V109" s="45"/>
      <c r="W109" s="45"/>
      <c r="X109" s="45"/>
      <c r="Y109" s="45"/>
      <c r="Z109" s="44"/>
      <c r="AA109" s="44"/>
      <c r="AB109" s="44"/>
      <c r="AC109" s="45"/>
      <c r="AD109" s="47"/>
      <c r="AE109" s="47"/>
      <c r="AF109" s="48"/>
      <c r="AG109" s="49"/>
    </row>
    <row r="110" spans="1:33" x14ac:dyDescent="0.25">
      <c r="A110" s="40"/>
      <c r="B110" s="41"/>
      <c r="C110" s="42"/>
      <c r="D110" s="41"/>
      <c r="E110" s="41"/>
      <c r="F110" s="41"/>
      <c r="G110" s="41"/>
      <c r="H110" s="41"/>
      <c r="I110" s="43"/>
      <c r="J110" s="44"/>
      <c r="K110" s="57" t="str">
        <f>IF(J110&lt;&gt;"",IF(VLOOKUP(J110,Taxons!A:C,2,FALSE)=0,"",VLOOKUP(J110,Taxons!A:C,2,FALSE)),"")</f>
        <v/>
      </c>
      <c r="L110" s="57" t="str">
        <f>IF(J110&lt;&gt;"",VLOOKUP(J110,Taxons!A:C,3,FALSE),"")</f>
        <v/>
      </c>
      <c r="M110" s="46"/>
      <c r="N110" s="44"/>
      <c r="O110" s="45"/>
      <c r="P110" s="45"/>
      <c r="Q110" s="45"/>
      <c r="R110" s="45"/>
      <c r="S110" s="44"/>
      <c r="T110" s="44"/>
      <c r="U110" s="45"/>
      <c r="V110" s="45"/>
      <c r="W110" s="45"/>
      <c r="X110" s="45"/>
      <c r="Y110" s="45"/>
      <c r="Z110" s="44"/>
      <c r="AA110" s="44"/>
      <c r="AB110" s="44"/>
      <c r="AC110" s="45"/>
      <c r="AD110" s="47"/>
      <c r="AE110" s="47"/>
      <c r="AF110" s="48"/>
      <c r="AG110" s="49"/>
    </row>
    <row r="111" spans="1:33" x14ac:dyDescent="0.25">
      <c r="A111" s="40"/>
      <c r="B111" s="41"/>
      <c r="C111" s="42"/>
      <c r="D111" s="41"/>
      <c r="E111" s="41"/>
      <c r="F111" s="41"/>
      <c r="G111" s="41"/>
      <c r="H111" s="41"/>
      <c r="I111" s="43"/>
      <c r="J111" s="44"/>
      <c r="K111" s="57" t="str">
        <f>IF(J111&lt;&gt;"",IF(VLOOKUP(J111,Taxons!A:C,2,FALSE)=0,"",VLOOKUP(J111,Taxons!A:C,2,FALSE)),"")</f>
        <v/>
      </c>
      <c r="L111" s="57" t="str">
        <f>IF(J111&lt;&gt;"",VLOOKUP(J111,Taxons!A:C,3,FALSE),"")</f>
        <v/>
      </c>
      <c r="M111" s="46"/>
      <c r="N111" s="44"/>
      <c r="O111" s="45"/>
      <c r="P111" s="45"/>
      <c r="Q111" s="45"/>
      <c r="R111" s="45"/>
      <c r="S111" s="44"/>
      <c r="T111" s="44"/>
      <c r="U111" s="45"/>
      <c r="V111" s="45"/>
      <c r="W111" s="45"/>
      <c r="X111" s="45"/>
      <c r="Y111" s="45"/>
      <c r="Z111" s="44"/>
      <c r="AA111" s="44"/>
      <c r="AB111" s="44"/>
      <c r="AC111" s="45"/>
      <c r="AD111" s="47"/>
      <c r="AE111" s="47"/>
      <c r="AF111" s="48"/>
      <c r="AG111" s="49"/>
    </row>
    <row r="112" spans="1:33" x14ac:dyDescent="0.25">
      <c r="A112" s="40"/>
      <c r="B112" s="41"/>
      <c r="C112" s="42"/>
      <c r="D112" s="41"/>
      <c r="E112" s="41"/>
      <c r="F112" s="41"/>
      <c r="G112" s="41"/>
      <c r="H112" s="41"/>
      <c r="I112" s="43"/>
      <c r="J112" s="44"/>
      <c r="K112" s="57" t="str">
        <f>IF(J112&lt;&gt;"",IF(VLOOKUP(J112,Taxons!A:C,2,FALSE)=0,"",VLOOKUP(J112,Taxons!A:C,2,FALSE)),"")</f>
        <v/>
      </c>
      <c r="L112" s="57" t="str">
        <f>IF(J112&lt;&gt;"",VLOOKUP(J112,Taxons!A:C,3,FALSE),"")</f>
        <v/>
      </c>
      <c r="M112" s="46"/>
      <c r="N112" s="44"/>
      <c r="O112" s="45"/>
      <c r="P112" s="45"/>
      <c r="Q112" s="45"/>
      <c r="R112" s="45"/>
      <c r="S112" s="44"/>
      <c r="T112" s="44"/>
      <c r="U112" s="45"/>
      <c r="V112" s="45"/>
      <c r="W112" s="45"/>
      <c r="X112" s="45"/>
      <c r="Y112" s="45"/>
      <c r="Z112" s="44"/>
      <c r="AA112" s="44"/>
      <c r="AB112" s="44"/>
      <c r="AC112" s="45"/>
      <c r="AD112" s="47"/>
      <c r="AE112" s="47"/>
      <c r="AF112" s="48"/>
      <c r="AG112" s="49"/>
    </row>
    <row r="113" spans="1:33" x14ac:dyDescent="0.25">
      <c r="A113" s="40"/>
      <c r="B113" s="41"/>
      <c r="C113" s="42"/>
      <c r="D113" s="41"/>
      <c r="E113" s="41"/>
      <c r="F113" s="41"/>
      <c r="G113" s="41"/>
      <c r="H113" s="41"/>
      <c r="I113" s="43"/>
      <c r="J113" s="44"/>
      <c r="K113" s="57" t="str">
        <f>IF(J113&lt;&gt;"",IF(VLOOKUP(J113,Taxons!A:C,2,FALSE)=0,"",VLOOKUP(J113,Taxons!A:C,2,FALSE)),"")</f>
        <v/>
      </c>
      <c r="L113" s="57" t="str">
        <f>IF(J113&lt;&gt;"",VLOOKUP(J113,Taxons!A:C,3,FALSE),"")</f>
        <v/>
      </c>
      <c r="M113" s="46"/>
      <c r="N113" s="44"/>
      <c r="O113" s="45"/>
      <c r="P113" s="45"/>
      <c r="Q113" s="45"/>
      <c r="R113" s="45"/>
      <c r="S113" s="44"/>
      <c r="T113" s="44"/>
      <c r="U113" s="45"/>
      <c r="V113" s="45"/>
      <c r="W113" s="45"/>
      <c r="X113" s="45"/>
      <c r="Y113" s="45"/>
      <c r="Z113" s="44"/>
      <c r="AA113" s="44"/>
      <c r="AB113" s="44"/>
      <c r="AC113" s="45"/>
      <c r="AD113" s="47"/>
      <c r="AE113" s="47"/>
      <c r="AF113" s="48"/>
      <c r="AG113" s="49"/>
    </row>
    <row r="114" spans="1:33" x14ac:dyDescent="0.25">
      <c r="A114" s="40"/>
      <c r="B114" s="41"/>
      <c r="C114" s="42"/>
      <c r="D114" s="41"/>
      <c r="E114" s="41"/>
      <c r="F114" s="41"/>
      <c r="G114" s="41"/>
      <c r="H114" s="41"/>
      <c r="I114" s="43"/>
      <c r="J114" s="44"/>
      <c r="K114" s="57" t="str">
        <f>IF(J114&lt;&gt;"",IF(VLOOKUP(J114,Taxons!A:C,2,FALSE)=0,"",VLOOKUP(J114,Taxons!A:C,2,FALSE)),"")</f>
        <v/>
      </c>
      <c r="L114" s="57" t="str">
        <f>IF(J114&lt;&gt;"",VLOOKUP(J114,Taxons!A:C,3,FALSE),"")</f>
        <v/>
      </c>
      <c r="M114" s="46"/>
      <c r="N114" s="44"/>
      <c r="O114" s="45"/>
      <c r="P114" s="45"/>
      <c r="Q114" s="45"/>
      <c r="R114" s="45"/>
      <c r="S114" s="44"/>
      <c r="T114" s="44"/>
      <c r="U114" s="45"/>
      <c r="V114" s="45"/>
      <c r="W114" s="45"/>
      <c r="X114" s="45"/>
      <c r="Y114" s="45"/>
      <c r="Z114" s="44"/>
      <c r="AA114" s="44"/>
      <c r="AB114" s="44"/>
      <c r="AC114" s="45"/>
      <c r="AD114" s="47"/>
      <c r="AE114" s="47"/>
      <c r="AF114" s="48"/>
      <c r="AG114" s="49"/>
    </row>
    <row r="115" spans="1:33" x14ac:dyDescent="0.25">
      <c r="A115" s="40"/>
      <c r="B115" s="41"/>
      <c r="C115" s="42"/>
      <c r="D115" s="41"/>
      <c r="E115" s="41"/>
      <c r="F115" s="41"/>
      <c r="G115" s="41"/>
      <c r="H115" s="41"/>
      <c r="I115" s="43"/>
      <c r="J115" s="44"/>
      <c r="K115" s="57" t="str">
        <f>IF(J115&lt;&gt;"",IF(VLOOKUP(J115,Taxons!A:C,2,FALSE)=0,"",VLOOKUP(J115,Taxons!A:C,2,FALSE)),"")</f>
        <v/>
      </c>
      <c r="L115" s="57" t="str">
        <f>IF(J115&lt;&gt;"",VLOOKUP(J115,Taxons!A:C,3,FALSE),"")</f>
        <v/>
      </c>
      <c r="M115" s="46"/>
      <c r="N115" s="44"/>
      <c r="O115" s="45"/>
      <c r="P115" s="45"/>
      <c r="Q115" s="45"/>
      <c r="R115" s="45"/>
      <c r="S115" s="44"/>
      <c r="T115" s="44"/>
      <c r="U115" s="45"/>
      <c r="V115" s="45"/>
      <c r="W115" s="45"/>
      <c r="X115" s="45"/>
      <c r="Y115" s="45"/>
      <c r="Z115" s="44"/>
      <c r="AA115" s="44"/>
      <c r="AB115" s="44"/>
      <c r="AC115" s="45"/>
      <c r="AD115" s="47"/>
      <c r="AE115" s="47"/>
      <c r="AF115" s="48"/>
      <c r="AG115" s="49"/>
    </row>
    <row r="116" spans="1:33" x14ac:dyDescent="0.25">
      <c r="A116" s="40"/>
      <c r="B116" s="41"/>
      <c r="C116" s="42"/>
      <c r="D116" s="41"/>
      <c r="E116" s="41"/>
      <c r="F116" s="41"/>
      <c r="G116" s="41"/>
      <c r="H116" s="41"/>
      <c r="I116" s="43"/>
      <c r="J116" s="44"/>
      <c r="K116" s="57" t="str">
        <f>IF(J116&lt;&gt;"",IF(VLOOKUP(J116,Taxons!A:C,2,FALSE)=0,"",VLOOKUP(J116,Taxons!A:C,2,FALSE)),"")</f>
        <v/>
      </c>
      <c r="L116" s="57" t="str">
        <f>IF(J116&lt;&gt;"",VLOOKUP(J116,Taxons!A:C,3,FALSE),"")</f>
        <v/>
      </c>
      <c r="M116" s="46"/>
      <c r="N116" s="44"/>
      <c r="O116" s="45"/>
      <c r="P116" s="45"/>
      <c r="Q116" s="45"/>
      <c r="R116" s="45"/>
      <c r="S116" s="44"/>
      <c r="T116" s="44"/>
      <c r="U116" s="45"/>
      <c r="V116" s="45"/>
      <c r="W116" s="45"/>
      <c r="X116" s="45"/>
      <c r="Y116" s="45"/>
      <c r="Z116" s="44"/>
      <c r="AA116" s="44"/>
      <c r="AB116" s="44"/>
      <c r="AC116" s="45"/>
      <c r="AD116" s="47"/>
      <c r="AE116" s="47"/>
      <c r="AF116" s="48"/>
      <c r="AG116" s="49"/>
    </row>
    <row r="117" spans="1:33" x14ac:dyDescent="0.25">
      <c r="A117" s="40"/>
      <c r="B117" s="41"/>
      <c r="C117" s="42"/>
      <c r="D117" s="41"/>
      <c r="E117" s="41"/>
      <c r="F117" s="41"/>
      <c r="G117" s="41"/>
      <c r="H117" s="41"/>
      <c r="I117" s="43"/>
      <c r="J117" s="44"/>
      <c r="K117" s="57" t="str">
        <f>IF(J117&lt;&gt;"",IF(VLOOKUP(J117,Taxons!A:C,2,FALSE)=0,"",VLOOKUP(J117,Taxons!A:C,2,FALSE)),"")</f>
        <v/>
      </c>
      <c r="L117" s="57" t="str">
        <f>IF(J117&lt;&gt;"",VLOOKUP(J117,Taxons!A:C,3,FALSE),"")</f>
        <v/>
      </c>
      <c r="M117" s="46"/>
      <c r="N117" s="44"/>
      <c r="O117" s="45"/>
      <c r="P117" s="45"/>
      <c r="Q117" s="45"/>
      <c r="R117" s="45"/>
      <c r="S117" s="44"/>
      <c r="T117" s="44"/>
      <c r="U117" s="45"/>
      <c r="V117" s="45"/>
      <c r="W117" s="45"/>
      <c r="X117" s="45"/>
      <c r="Y117" s="45"/>
      <c r="Z117" s="44"/>
      <c r="AA117" s="44"/>
      <c r="AB117" s="44"/>
      <c r="AC117" s="45"/>
      <c r="AD117" s="47"/>
      <c r="AE117" s="47"/>
      <c r="AF117" s="48"/>
      <c r="AG117" s="49"/>
    </row>
    <row r="118" spans="1:33" x14ac:dyDescent="0.25">
      <c r="A118" s="40"/>
      <c r="B118" s="41"/>
      <c r="C118" s="42"/>
      <c r="D118" s="41"/>
      <c r="E118" s="41"/>
      <c r="F118" s="41"/>
      <c r="G118" s="41"/>
      <c r="H118" s="41"/>
      <c r="I118" s="43"/>
      <c r="J118" s="44"/>
      <c r="K118" s="57" t="str">
        <f>IF(J118&lt;&gt;"",IF(VLOOKUP(J118,Taxons!A:C,2,FALSE)=0,"",VLOOKUP(J118,Taxons!A:C,2,FALSE)),"")</f>
        <v/>
      </c>
      <c r="L118" s="57" t="str">
        <f>IF(J118&lt;&gt;"",VLOOKUP(J118,Taxons!A:C,3,FALSE),"")</f>
        <v/>
      </c>
      <c r="M118" s="46"/>
      <c r="N118" s="44"/>
      <c r="O118" s="45"/>
      <c r="P118" s="45"/>
      <c r="Q118" s="45"/>
      <c r="R118" s="45"/>
      <c r="S118" s="44"/>
      <c r="T118" s="44"/>
      <c r="U118" s="45"/>
      <c r="V118" s="45"/>
      <c r="W118" s="45"/>
      <c r="X118" s="45"/>
      <c r="Y118" s="45"/>
      <c r="Z118" s="44"/>
      <c r="AA118" s="44"/>
      <c r="AB118" s="44"/>
      <c r="AC118" s="45"/>
      <c r="AD118" s="47"/>
      <c r="AE118" s="47"/>
      <c r="AF118" s="48"/>
      <c r="AG118" s="49"/>
    </row>
    <row r="119" spans="1:33" x14ac:dyDescent="0.25">
      <c r="A119" s="40"/>
      <c r="B119" s="41"/>
      <c r="C119" s="42"/>
      <c r="D119" s="41"/>
      <c r="E119" s="41"/>
      <c r="F119" s="41"/>
      <c r="G119" s="41"/>
      <c r="H119" s="41"/>
      <c r="I119" s="43"/>
      <c r="J119" s="44"/>
      <c r="K119" s="57" t="str">
        <f>IF(J119&lt;&gt;"",IF(VLOOKUP(J119,Taxons!A:C,2,FALSE)=0,"",VLOOKUP(J119,Taxons!A:C,2,FALSE)),"")</f>
        <v/>
      </c>
      <c r="L119" s="57" t="str">
        <f>IF(J119&lt;&gt;"",VLOOKUP(J119,Taxons!A:C,3,FALSE),"")</f>
        <v/>
      </c>
      <c r="M119" s="46"/>
      <c r="N119" s="44"/>
      <c r="O119" s="45"/>
      <c r="P119" s="45"/>
      <c r="Q119" s="45"/>
      <c r="R119" s="45"/>
      <c r="S119" s="44"/>
      <c r="T119" s="44"/>
      <c r="U119" s="45"/>
      <c r="V119" s="45"/>
      <c r="W119" s="45"/>
      <c r="X119" s="45"/>
      <c r="Y119" s="45"/>
      <c r="Z119" s="44"/>
      <c r="AA119" s="44"/>
      <c r="AB119" s="44"/>
      <c r="AC119" s="45"/>
      <c r="AD119" s="47"/>
      <c r="AE119" s="47"/>
      <c r="AF119" s="48"/>
      <c r="AG119" s="49"/>
    </row>
    <row r="120" spans="1:33" x14ac:dyDescent="0.25">
      <c r="A120" s="40"/>
      <c r="B120" s="41"/>
      <c r="C120" s="42"/>
      <c r="D120" s="41"/>
      <c r="E120" s="41"/>
      <c r="F120" s="41"/>
      <c r="G120" s="41"/>
      <c r="H120" s="41"/>
      <c r="I120" s="43"/>
      <c r="J120" s="44"/>
      <c r="K120" s="57" t="str">
        <f>IF(J120&lt;&gt;"",IF(VLOOKUP(J120,Taxons!A:C,2,FALSE)=0,"",VLOOKUP(J120,Taxons!A:C,2,FALSE)),"")</f>
        <v/>
      </c>
      <c r="L120" s="57" t="str">
        <f>IF(J120&lt;&gt;"",VLOOKUP(J120,Taxons!A:C,3,FALSE),"")</f>
        <v/>
      </c>
      <c r="M120" s="46"/>
      <c r="N120" s="44"/>
      <c r="O120" s="45"/>
      <c r="P120" s="45"/>
      <c r="Q120" s="45"/>
      <c r="R120" s="45"/>
      <c r="S120" s="44"/>
      <c r="T120" s="44"/>
      <c r="U120" s="45"/>
      <c r="V120" s="45"/>
      <c r="W120" s="45"/>
      <c r="X120" s="45"/>
      <c r="Y120" s="45"/>
      <c r="Z120" s="44"/>
      <c r="AA120" s="44"/>
      <c r="AB120" s="44"/>
      <c r="AC120" s="45"/>
      <c r="AD120" s="47"/>
      <c r="AE120" s="47"/>
      <c r="AF120" s="48"/>
      <c r="AG120" s="49"/>
    </row>
    <row r="121" spans="1:33" x14ac:dyDescent="0.25">
      <c r="A121" s="40"/>
      <c r="B121" s="41"/>
      <c r="C121" s="42"/>
      <c r="D121" s="41"/>
      <c r="E121" s="41"/>
      <c r="F121" s="41"/>
      <c r="G121" s="41"/>
      <c r="H121" s="41"/>
      <c r="I121" s="43"/>
      <c r="J121" s="44"/>
      <c r="K121" s="57" t="str">
        <f>IF(J121&lt;&gt;"",IF(VLOOKUP(J121,Taxons!A:C,2,FALSE)=0,"",VLOOKUP(J121,Taxons!A:C,2,FALSE)),"")</f>
        <v/>
      </c>
      <c r="L121" s="57" t="str">
        <f>IF(J121&lt;&gt;"",VLOOKUP(J121,Taxons!A:C,3,FALSE),"")</f>
        <v/>
      </c>
      <c r="M121" s="46"/>
      <c r="N121" s="44"/>
      <c r="O121" s="45"/>
      <c r="P121" s="45"/>
      <c r="Q121" s="45"/>
      <c r="R121" s="45"/>
      <c r="S121" s="44"/>
      <c r="T121" s="44"/>
      <c r="U121" s="45"/>
      <c r="V121" s="45"/>
      <c r="W121" s="45"/>
      <c r="X121" s="45"/>
      <c r="Y121" s="45"/>
      <c r="Z121" s="44"/>
      <c r="AA121" s="44"/>
      <c r="AB121" s="44"/>
      <c r="AC121" s="45"/>
      <c r="AD121" s="47"/>
      <c r="AE121" s="47"/>
      <c r="AF121" s="48"/>
      <c r="AG121" s="49"/>
    </row>
    <row r="122" spans="1:33" x14ac:dyDescent="0.25">
      <c r="A122" s="40"/>
      <c r="B122" s="41"/>
      <c r="C122" s="42"/>
      <c r="D122" s="41"/>
      <c r="E122" s="41"/>
      <c r="F122" s="41"/>
      <c r="G122" s="41"/>
      <c r="H122" s="41"/>
      <c r="I122" s="43"/>
      <c r="J122" s="44"/>
      <c r="K122" s="57" t="str">
        <f>IF(J122&lt;&gt;"",IF(VLOOKUP(J122,Taxons!A:C,2,FALSE)=0,"",VLOOKUP(J122,Taxons!A:C,2,FALSE)),"")</f>
        <v/>
      </c>
      <c r="L122" s="57" t="str">
        <f>IF(J122&lt;&gt;"",VLOOKUP(J122,Taxons!A:C,3,FALSE),"")</f>
        <v/>
      </c>
      <c r="M122" s="46"/>
      <c r="N122" s="44"/>
      <c r="O122" s="45"/>
      <c r="P122" s="45"/>
      <c r="Q122" s="45"/>
      <c r="R122" s="45"/>
      <c r="S122" s="44"/>
      <c r="T122" s="44"/>
      <c r="U122" s="45"/>
      <c r="V122" s="45"/>
      <c r="W122" s="45"/>
      <c r="X122" s="45"/>
      <c r="Y122" s="45"/>
      <c r="Z122" s="44"/>
      <c r="AA122" s="44"/>
      <c r="AB122" s="44"/>
      <c r="AC122" s="45"/>
      <c r="AD122" s="47"/>
      <c r="AE122" s="47"/>
      <c r="AF122" s="48"/>
      <c r="AG122" s="49"/>
    </row>
    <row r="123" spans="1:33" x14ac:dyDescent="0.25">
      <c r="A123" s="40"/>
      <c r="B123" s="41"/>
      <c r="C123" s="42"/>
      <c r="D123" s="41"/>
      <c r="E123" s="41"/>
      <c r="F123" s="41"/>
      <c r="G123" s="41"/>
      <c r="H123" s="41"/>
      <c r="I123" s="43"/>
      <c r="J123" s="44"/>
      <c r="K123" s="57" t="str">
        <f>IF(J123&lt;&gt;"",IF(VLOOKUP(J123,Taxons!A:C,2,FALSE)=0,"",VLOOKUP(J123,Taxons!A:C,2,FALSE)),"")</f>
        <v/>
      </c>
      <c r="L123" s="57" t="str">
        <f>IF(J123&lt;&gt;"",VLOOKUP(J123,Taxons!A:C,3,FALSE),"")</f>
        <v/>
      </c>
      <c r="M123" s="46"/>
      <c r="N123" s="44"/>
      <c r="O123" s="45"/>
      <c r="P123" s="45"/>
      <c r="Q123" s="45"/>
      <c r="R123" s="45"/>
      <c r="S123" s="44"/>
      <c r="T123" s="44"/>
      <c r="U123" s="45"/>
      <c r="V123" s="45"/>
      <c r="W123" s="45"/>
      <c r="X123" s="45"/>
      <c r="Y123" s="45"/>
      <c r="Z123" s="44"/>
      <c r="AA123" s="44"/>
      <c r="AB123" s="44"/>
      <c r="AC123" s="45"/>
      <c r="AD123" s="47"/>
      <c r="AE123" s="47"/>
      <c r="AF123" s="48"/>
      <c r="AG123" s="49"/>
    </row>
    <row r="124" spans="1:33" x14ac:dyDescent="0.25">
      <c r="A124" s="40"/>
      <c r="B124" s="41"/>
      <c r="C124" s="42"/>
      <c r="D124" s="41"/>
      <c r="E124" s="41"/>
      <c r="F124" s="41"/>
      <c r="G124" s="41"/>
      <c r="H124" s="41"/>
      <c r="I124" s="43"/>
      <c r="J124" s="44"/>
      <c r="K124" s="57" t="str">
        <f>IF(J124&lt;&gt;"",IF(VLOOKUP(J124,Taxons!A:C,2,FALSE)=0,"",VLOOKUP(J124,Taxons!A:C,2,FALSE)),"")</f>
        <v/>
      </c>
      <c r="L124" s="57" t="str">
        <f>IF(J124&lt;&gt;"",VLOOKUP(J124,Taxons!A:C,3,FALSE),"")</f>
        <v/>
      </c>
      <c r="M124" s="46"/>
      <c r="N124" s="44"/>
      <c r="O124" s="45"/>
      <c r="P124" s="45"/>
      <c r="Q124" s="45"/>
      <c r="R124" s="45"/>
      <c r="S124" s="44"/>
      <c r="T124" s="44"/>
      <c r="U124" s="45"/>
      <c r="V124" s="45"/>
      <c r="W124" s="45"/>
      <c r="X124" s="45"/>
      <c r="Y124" s="45"/>
      <c r="Z124" s="44"/>
      <c r="AA124" s="44"/>
      <c r="AB124" s="44"/>
      <c r="AC124" s="45"/>
      <c r="AD124" s="47"/>
      <c r="AE124" s="47"/>
      <c r="AF124" s="48"/>
      <c r="AG124" s="49"/>
    </row>
    <row r="125" spans="1:33" x14ac:dyDescent="0.25">
      <c r="A125" s="40"/>
      <c r="B125" s="41"/>
      <c r="C125" s="42"/>
      <c r="D125" s="41"/>
      <c r="E125" s="41"/>
      <c r="F125" s="41"/>
      <c r="G125" s="41"/>
      <c r="H125" s="41"/>
      <c r="I125" s="43"/>
      <c r="J125" s="44"/>
      <c r="K125" s="57" t="str">
        <f>IF(J125&lt;&gt;"",IF(VLOOKUP(J125,Taxons!A:C,2,FALSE)=0,"",VLOOKUP(J125,Taxons!A:C,2,FALSE)),"")</f>
        <v/>
      </c>
      <c r="L125" s="57" t="str">
        <f>IF(J125&lt;&gt;"",VLOOKUP(J125,Taxons!A:C,3,FALSE),"")</f>
        <v/>
      </c>
      <c r="M125" s="46"/>
      <c r="N125" s="44"/>
      <c r="O125" s="45"/>
      <c r="P125" s="45"/>
      <c r="Q125" s="45"/>
      <c r="R125" s="45"/>
      <c r="S125" s="44"/>
      <c r="T125" s="44"/>
      <c r="U125" s="45"/>
      <c r="V125" s="45"/>
      <c r="W125" s="45"/>
      <c r="X125" s="45"/>
      <c r="Y125" s="45"/>
      <c r="Z125" s="44"/>
      <c r="AA125" s="44"/>
      <c r="AB125" s="44"/>
      <c r="AC125" s="45"/>
      <c r="AD125" s="47"/>
      <c r="AE125" s="47"/>
      <c r="AF125" s="48"/>
      <c r="AG125" s="49"/>
    </row>
  </sheetData>
  <mergeCells count="1">
    <mergeCell ref="A1:L1"/>
  </mergeCells>
  <phoneticPr fontId="24" type="noConversion"/>
  <conditionalFormatting sqref="AD1:AD125">
    <cfRule type="expression" dxfId="2" priority="1">
      <formula>SUM(#REF!)</formula>
    </cfRule>
  </conditionalFormatting>
  <dataValidations count="4">
    <dataValidation type="list" allowBlank="1" showInputMessage="1" sqref="N3:R125 AE3:AE125" xr:uid="{81532FD8-75FA-407D-BE45-80005AA20F11}">
      <formula1>IF(N3&lt;&gt;"",OFFSET(f_obs,MATCH(N3&amp;"*",f_obs,0)-1,,COUNTIF(f_obs,N3&amp;"*"),1),f_obs)</formula1>
    </dataValidation>
    <dataValidation type="list" allowBlank="1" showInputMessage="1" sqref="J3:J125" xr:uid="{0DB4CF7A-A8FD-43FE-ACDA-405242E1247C}">
      <formula1>IF(J3&lt;&gt;"",OFFSET(f_taxon,MATCH(J3&amp;"*",f_taxon,0)-1,,COUNTIF(f_taxon,J3&amp;"*"),1),f_taxon)</formula1>
    </dataValidation>
    <dataValidation type="list" allowBlank="1" showInputMessage="1" sqref="D3:D125" xr:uid="{055EBFD2-AEEF-415A-8AD9-36FA30C7465F}">
      <formula1>IF(D3&lt;&gt;"",OFFSET(f_site,MATCH(D3&amp;"*",f_site,0)-1,,COUNTIF(f_site,D3&amp;"*"),1),f_site)</formula1>
    </dataValidation>
    <dataValidation type="list" allowBlank="1" showInputMessage="1" showErrorMessage="1" sqref="G3:G125 E3:E125" xr:uid="{F9FA0796-7504-4911-97DC-F90BEAF4399E}">
      <formula1>"Oui,Non"</formula1>
    </dataValidation>
  </dataValidations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showInputMessage="1" showErrorMessage="1" xr:uid="{B0AA4FD0-53E1-47DB-BBB5-7362A8BAD0CA}">
          <x14:formula1>
            <xm:f>Sites!$A$2:$A$195</xm:f>
          </x14:formula1>
          <xm:sqref>D126:D1000</xm:sqref>
        </x14:dataValidation>
        <x14:dataValidation type="list" allowBlank="1" showInputMessage="1" showErrorMessage="1" xr:uid="{95AA4DFF-CFFB-458F-9E1F-50457848139D}">
          <x14:formula1>
            <xm:f>Nomenclature!$B$2:$B$4</xm:f>
          </x14:formula1>
          <xm:sqref>F3:F125</xm:sqref>
        </x14:dataValidation>
        <x14:dataValidation type="list" allowBlank="1" showInputMessage="1" showErrorMessage="1" xr:uid="{BE0479E1-CAE0-46E8-AED7-70649A21073A}">
          <x14:formula1>
            <xm:f>Nomenclature!$H$2:$H$31</xm:f>
          </x14:formula1>
          <xm:sqref>AA3:AA125</xm:sqref>
        </x14:dataValidation>
        <x14:dataValidation type="list" allowBlank="1" showInputMessage="1" showErrorMessage="1" xr:uid="{57E7BFF9-9D2F-4A4E-86AA-035E01D49409}">
          <x14:formula1>
            <xm:f>Nomenclature!$J$2:$J$21</xm:f>
          </x14:formula1>
          <xm:sqref>AB3:AB125</xm:sqref>
        </x14:dataValidation>
        <x14:dataValidation type="list" allowBlank="1" showInputMessage="1" showErrorMessage="1" xr:uid="{072413B5-C3DB-4A06-B24E-6A1715CCD296}">
          <x14:formula1>
            <xm:f>Nomenclature!$F$3:$F$7</xm:f>
          </x14:formula1>
          <xm:sqref>Z3:Z125</xm:sqref>
        </x14:dataValidation>
        <x14:dataValidation type="list" allowBlank="1" showInputMessage="1" showErrorMessage="1" xr:uid="{639C6741-F316-469E-9064-A3E6AA317E44}">
          <x14:formula1>
            <xm:f>Nomenclature!$D$2:$D$6</xm:f>
          </x14:formula1>
          <xm:sqref>H3:H125</xm:sqref>
        </x14:dataValidation>
        <x14:dataValidation type="list" allowBlank="1" showInputMessage="1" showErrorMessage="1" xr:uid="{148FB073-3582-4B36-854B-813E1F1050AE}">
          <x14:formula1>
            <xm:f>Nomenclature!$L$2:$L$8</xm:f>
          </x14:formula1>
          <xm:sqref>AD3:AD125</xm:sqref>
        </x14:dataValidation>
        <x14:dataValidation type="list" allowBlank="1" showInputMessage="1" showErrorMessage="1" xr:uid="{5A9D1AEB-A59E-429E-B762-B752A475A6B9}">
          <x14:formula1>
            <xm:f>Nomenclature!$N$2:$N$3</xm:f>
          </x14:formula1>
          <xm:sqref>S3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822D-93E3-44F7-9E0B-F83EBBEE6DCF}">
  <sheetPr>
    <tabColor rgb="FFFFC000"/>
  </sheetPr>
  <dimension ref="A1:AF170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17.7109375" style="16" customWidth="1"/>
    <col min="2" max="2" width="17.7109375" style="3" customWidth="1"/>
    <col min="3" max="3" width="17.7109375" style="8" customWidth="1"/>
    <col min="4" max="4" width="41.7109375" style="1" customWidth="1"/>
    <col min="5" max="5" width="20" style="1" customWidth="1"/>
    <col min="6" max="7" width="17.7109375" style="1" customWidth="1"/>
    <col min="8" max="8" width="18.85546875" style="1" customWidth="1"/>
    <col min="9" max="10" width="25.42578125" style="1" customWidth="1"/>
    <col min="11" max="11" width="17.7109375" style="1" customWidth="1"/>
    <col min="12" max="12" width="17.7109375" style="26" customWidth="1"/>
    <col min="13" max="13" width="17.7109375" style="34" customWidth="1"/>
    <col min="14" max="16" width="17.7109375" style="1" customWidth="1"/>
    <col min="17" max="17" width="17.7109375" style="2" customWidth="1"/>
    <col min="18" max="19" width="17.7109375" style="16" customWidth="1"/>
    <col min="20" max="20" width="17.7109375" style="1" customWidth="1"/>
    <col min="21" max="21" width="17.7109375" style="19" customWidth="1"/>
    <col min="22" max="22" width="17.7109375" style="2" customWidth="1"/>
    <col min="23" max="24" width="17.7109375" style="16" customWidth="1"/>
    <col min="25" max="25" width="20.140625" style="16" customWidth="1"/>
    <col min="26" max="27" width="17.7109375" style="16" customWidth="1"/>
    <col min="28" max="28" width="36.85546875" style="16" customWidth="1"/>
    <col min="29" max="30" width="16.7109375" style="16" customWidth="1"/>
    <col min="31" max="31" width="16.7109375" style="19" customWidth="1"/>
    <col min="32" max="32" width="16.7109375" style="16" customWidth="1"/>
    <col min="33" max="16384" width="9.140625" style="16"/>
  </cols>
  <sheetData>
    <row r="1" spans="1:32" s="18" customFormat="1" ht="17.25" customHeight="1" x14ac:dyDescent="0.25">
      <c r="A1" s="11" t="s">
        <v>0</v>
      </c>
      <c r="B1" s="12" t="s">
        <v>926</v>
      </c>
      <c r="C1" s="17" t="s">
        <v>1</v>
      </c>
      <c r="D1" s="12" t="s">
        <v>31</v>
      </c>
      <c r="E1" s="12" t="s">
        <v>937</v>
      </c>
      <c r="F1" s="12" t="s">
        <v>938</v>
      </c>
      <c r="G1" s="12" t="s">
        <v>939</v>
      </c>
      <c r="H1" s="12" t="s">
        <v>940</v>
      </c>
      <c r="I1" s="13" t="s">
        <v>34</v>
      </c>
      <c r="J1" s="13" t="s">
        <v>921</v>
      </c>
      <c r="K1" s="13" t="s">
        <v>5</v>
      </c>
      <c r="L1" s="54" t="s">
        <v>934</v>
      </c>
      <c r="M1" s="55" t="s">
        <v>28</v>
      </c>
      <c r="N1" s="13" t="s">
        <v>2</v>
      </c>
      <c r="O1" s="13" t="s">
        <v>3</v>
      </c>
      <c r="P1" s="13" t="s">
        <v>4</v>
      </c>
      <c r="Q1" s="13" t="s">
        <v>935</v>
      </c>
      <c r="R1" s="13" t="s">
        <v>1097</v>
      </c>
      <c r="S1" s="13" t="s">
        <v>941</v>
      </c>
      <c r="T1" s="13" t="s">
        <v>942</v>
      </c>
      <c r="U1" s="13" t="s">
        <v>943</v>
      </c>
      <c r="V1" s="13" t="s">
        <v>944</v>
      </c>
      <c r="W1" s="13" t="s">
        <v>945</v>
      </c>
      <c r="X1" s="13" t="s">
        <v>946</v>
      </c>
      <c r="Y1" s="13" t="s">
        <v>947</v>
      </c>
      <c r="Z1" s="13" t="s">
        <v>948</v>
      </c>
      <c r="AA1" s="13" t="s">
        <v>949</v>
      </c>
      <c r="AB1" s="13" t="s">
        <v>936</v>
      </c>
      <c r="AC1" s="14" t="s">
        <v>6</v>
      </c>
      <c r="AD1" s="14" t="s">
        <v>7</v>
      </c>
      <c r="AE1" s="20" t="s">
        <v>8</v>
      </c>
      <c r="AF1" s="14" t="s">
        <v>9</v>
      </c>
    </row>
    <row r="2" spans="1:32" x14ac:dyDescent="0.25">
      <c r="A2" s="25">
        <f>IF('Comptage Décadaire'!A3&lt;&gt;"",VLOOKUP('Comptage Décadaire'!A3,'Comptage Décadaire'!A:A,1,FALSE),"")</f>
        <v>1</v>
      </c>
      <c r="B2" s="27">
        <f>IF('Comptage Décadaire'!B3&lt;&gt;"",VLOOKUP('Comptage Décadaire'!B3,'Comptage Décadaire'!B:B,1,FALSE),"")</f>
        <v>1</v>
      </c>
      <c r="C2" s="28">
        <f>IF('Comptage Décadaire'!C3&lt;&gt;"",VLOOKUP('Comptage Décadaire'!C3,'Comptage Décadaire'!C:C,1,FALSE),"")</f>
        <v>43987</v>
      </c>
      <c r="D2" s="29">
        <f>IF('Comptage Décadaire'!D3&lt;&gt;"",VLOOKUP('Comptage Décadaire'!D3,Sites!$A:$B,2,FALSE),"")</f>
        <v>1155</v>
      </c>
      <c r="E2" s="29" t="str">
        <f>IF('Comptage Décadaire'!E3&lt;&gt;"",VLOOKUP('Comptage Décadaire'!E3,'Comptage Décadaire'!E:E,1,FALSE),"")</f>
        <v>Oui</v>
      </c>
      <c r="F2" s="29">
        <f>IF('Comptage Décadaire'!F3&lt;&gt;"",VLOOKUP('Comptage Décadaire'!F3,Nomenclature!$B$2:$C$4,2,FALSE),"")</f>
        <v>663</v>
      </c>
      <c r="G2" s="29" t="str">
        <f>IF('Comptage Décadaire'!G3&lt;&gt;"",VLOOKUP('Comptage Décadaire'!G3,'Comptage Décadaire'!G:G,1,FALSE),"")</f>
        <v>Non</v>
      </c>
      <c r="H2" s="29">
        <f>IF('Comptage Décadaire'!H3&lt;&gt;"",VLOOKUP('Comptage Décadaire'!H3,Nomenclature!$D$2:$E$7,2,FALSE),"")</f>
        <v>691</v>
      </c>
      <c r="I2" s="30" t="str">
        <f>IF('Comptage Décadaire'!J3&lt;&gt;"",VLOOKUP('Comptage Décadaire'!J3,'Comptage Décadaire'!J:J,1,FALSE),"")</f>
        <v>Accipiter nisus (Linnaeus, 1758)</v>
      </c>
      <c r="J2" s="30" t="str">
        <f>IF('Comptage Décadaire'!K3&lt;&gt;"",VLOOKUP('Comptage Décadaire'!K3,'Comptage Décadaire'!K:K,1,FALSE),"")</f>
        <v>Épervier d'Europe</v>
      </c>
      <c r="K2" s="30">
        <f>IF('Comptage Décadaire'!L3&lt;&gt;"",VLOOKUP('Comptage Décadaire'!L3,'Comptage Décadaire'!L:L,1,FALSE),"")</f>
        <v>2895</v>
      </c>
      <c r="L2" s="31">
        <f>IF('Comptage Décadaire'!M3&lt;&gt;"",VLOOKUP('Comptage Décadaire'!M3,'Comptage Décadaire'!M:M,1,FALSE),"")</f>
        <v>0.97638888888888886</v>
      </c>
      <c r="M2" s="33">
        <f>IF('Comptage Décadaire'!N3&lt;&gt;"",VLOOKUP('Comptage Décadaire'!N3,Utilisateurs!$D:$F,3,FALSE),"")</f>
        <v>10</v>
      </c>
      <c r="N2" s="33" t="str">
        <f>IF('Comptage Décadaire'!O3&lt;&gt;"",VLOOKUP('Comptage Décadaire'!O3,Utilisateurs!$D:$F,3,FALSE),"")</f>
        <v/>
      </c>
      <c r="O2" s="33" t="str">
        <f>IF('Comptage Décadaire'!P3&lt;&gt;"",VLOOKUP('Comptage Décadaire'!P3,Utilisateurs!$D:$F,3,FALSE),"")</f>
        <v/>
      </c>
      <c r="P2" s="33" t="str">
        <f>IF('Comptage Décadaire'!Q3&lt;&gt;"",VLOOKUP('Comptage Décadaire'!Q3,Utilisateurs!$D:$F,3,FALSE),"")</f>
        <v/>
      </c>
      <c r="Q2" s="33" t="str">
        <f>IF('Comptage Décadaire'!R3&lt;&gt;"",VLOOKUP('Comptage Décadaire'!R3,Utilisateurs!$D:$F,3,FALSE),"")</f>
        <v/>
      </c>
      <c r="R2" s="30">
        <f>IF('Comptage Décadaire'!S3&lt;&gt;"",VLOOKUP('Comptage Décadaire'!S3,Nomenclature!$N:$O,2,FALSE),"")</f>
        <v>84</v>
      </c>
      <c r="S2" s="30">
        <f>IF('Comptage Décadaire'!T3&lt;&gt;"",VLOOKUP('Comptage Décadaire'!T3,'Comptage Décadaire'!T:T,1,FALSE),"")</f>
        <v>3</v>
      </c>
      <c r="T2" s="30">
        <f>IF('Comptage Décadaire'!U3&lt;&gt;"",VLOOKUP('Comptage Décadaire'!U3,'Comptage Décadaire'!U:U,1,FALSE),"")</f>
        <v>2</v>
      </c>
      <c r="U2" s="30">
        <f>IF('Comptage Décadaire'!V3&lt;&gt;"",VLOOKUP('Comptage Décadaire'!V3,'Comptage Décadaire'!V:V,1,FALSE),"")</f>
        <v>1</v>
      </c>
      <c r="V2" s="30" t="str">
        <f>IF('Comptage Décadaire'!W3&lt;&gt;"",VLOOKUP('Comptage Décadaire'!W3,'Comptage Décadaire'!W:W,1,FALSE),"")</f>
        <v/>
      </c>
      <c r="W2" s="30" t="str">
        <f>IF('Comptage Décadaire'!X3&lt;&gt;"",VLOOKUP('Comptage Décadaire'!X3,'Comptage Décadaire'!X:X,1,FALSE),"")</f>
        <v/>
      </c>
      <c r="X2" s="30" t="str">
        <f>IF('Comptage Décadaire'!Y3&lt;&gt;"",VLOOKUP('Comptage Décadaire'!Y3,'Comptage Décadaire'!Y:Y,1,FALSE),"")</f>
        <v/>
      </c>
      <c r="Y2" s="30">
        <f>IF('Comptage Décadaire'!Z3&lt;&gt;"",VLOOKUP('Comptage Décadaire'!Z3,Nomenclature!$F$2:$G$7,2,FALSE),"")</f>
        <v>639</v>
      </c>
      <c r="Z2" s="30">
        <f>IF('Comptage Décadaire'!AA3&lt;&gt;"",VLOOKUP('Comptage Décadaire'!AA3,Nomenclature!$H$2:$I$31,2,FALSE),"")</f>
        <v>543</v>
      </c>
      <c r="AA2" s="30">
        <f>IF('Comptage Décadaire'!AB3&lt;&gt;"",VLOOKUP('Comptage Décadaire'!AB3,Nomenclature!$J$2:$K$21,2,FALSE),"")</f>
        <v>664</v>
      </c>
      <c r="AB2" s="30" t="str">
        <f>IF('Comptage Décadaire'!AC3&lt;&gt;"",VLOOKUP('Comptage Décadaire'!AC3,'Comptage Décadaire'!AC:AC,1,FALSE),"")</f>
        <v/>
      </c>
      <c r="AC2" s="32">
        <f>IF('Comptage Décadaire'!AD3&lt;&gt;"",VLOOKUP('Comptage Décadaire'!AD3,Nomenclature!$L$2:$M$8,2,FALSE),"")</f>
        <v>457</v>
      </c>
      <c r="AD2" s="32">
        <f>IF('Comptage Décadaire'!AE3&lt;&gt;"",VLOOKUP('Comptage Décadaire'!AE3,Utilisateurs!$D$2:$F$81,3,FALSE),"")</f>
        <v>10</v>
      </c>
      <c r="AE2" s="35">
        <f>IF('Comptage Décadaire'!AF3&lt;&gt;"",VLOOKUP('Comptage Décadaire'!AF3,'Comptage Décadaire'!AF:AF,1,FALSE),"")</f>
        <v>43988</v>
      </c>
      <c r="AF2" s="32" t="str">
        <f>IF('Comptage Décadaire'!AG3&lt;&gt;"",VLOOKUP('Comptage Décadaire'!AG3,'Comptage Décadaire'!AG:AG,1,FALSE),"")</f>
        <v/>
      </c>
    </row>
    <row r="3" spans="1:32" x14ac:dyDescent="0.25">
      <c r="A3" s="25" t="str">
        <f>IF('Comptage Décadaire'!A4&lt;&gt;"",VLOOKUP('Comptage Décadaire'!A4,'Comptage Décadaire'!A:A,1,FALSE),"")</f>
        <v/>
      </c>
      <c r="B3" s="27" t="str">
        <f>IF('Comptage Décadaire'!B4&lt;&gt;"",VLOOKUP('Comptage Décadaire'!B4,'Comptage Décadaire'!B:B,1,FALSE),"")</f>
        <v/>
      </c>
      <c r="C3" s="28" t="str">
        <f>IF('Comptage Décadaire'!C4&lt;&gt;"",VLOOKUP('Comptage Décadaire'!C4,'Comptage Décadaire'!C:C,1,FALSE),"")</f>
        <v/>
      </c>
      <c r="D3" s="29" t="str">
        <f>IF('Comptage Décadaire'!D4&lt;&gt;"",VLOOKUP('Comptage Décadaire'!D4,Sites!$A:$B,2,FALSE),"")</f>
        <v/>
      </c>
      <c r="E3" s="29" t="str">
        <f>IF('Comptage Décadaire'!E4&lt;&gt;"",VLOOKUP('Comptage Décadaire'!E4,'Comptage Décadaire'!E:E,1,FALSE),"")</f>
        <v/>
      </c>
      <c r="F3" s="29" t="str">
        <f>IF('Comptage Décadaire'!F4&lt;&gt;"",VLOOKUP('Comptage Décadaire'!F4,Nomenclature!$B$2:$C$4,2,FALSE),"")</f>
        <v/>
      </c>
      <c r="G3" s="29" t="str">
        <f>IF('Comptage Décadaire'!G4&lt;&gt;"",VLOOKUP('Comptage Décadaire'!G4,'Comptage Décadaire'!G:G,1,FALSE),"")</f>
        <v/>
      </c>
      <c r="H3" s="29" t="str">
        <f>IF('Comptage Décadaire'!H4&lt;&gt;"",VLOOKUP('Comptage Décadaire'!H4,Nomenclature!$D$2:$E$7,2,FALSE),"")</f>
        <v/>
      </c>
      <c r="I3" s="30" t="str">
        <f>IF('Comptage Décadaire'!J4&lt;&gt;"",VLOOKUP('Comptage Décadaire'!J4,'Comptage Décadaire'!J:J,1,FALSE),"")</f>
        <v/>
      </c>
      <c r="J3" s="30" t="str">
        <f>IF('Comptage Décadaire'!K4&lt;&gt;"",VLOOKUP('Comptage Décadaire'!K4,'Comptage Décadaire'!K:K,1,FALSE),"")</f>
        <v/>
      </c>
      <c r="K3" s="30" t="str">
        <f>IF('Comptage Décadaire'!L4&lt;&gt;"",VLOOKUP('Comptage Décadaire'!L4,'Comptage Décadaire'!L:L,1,FALSE),"")</f>
        <v/>
      </c>
      <c r="L3" s="31" t="str">
        <f>IF('Comptage Décadaire'!M4&lt;&gt;"",VLOOKUP('Comptage Décadaire'!M4,'Comptage Décadaire'!M:M,1,FALSE),"")</f>
        <v/>
      </c>
      <c r="M3" s="33" t="str">
        <f>IF('Comptage Décadaire'!N4&lt;&gt;"",VLOOKUP('Comptage Décadaire'!N4,Utilisateurs!$D:$F,3,FALSE),"")</f>
        <v/>
      </c>
      <c r="N3" s="33" t="str">
        <f>IF('Comptage Décadaire'!O4&lt;&gt;"",VLOOKUP('Comptage Décadaire'!O4,Utilisateurs!$D:$F,3,FALSE),"")</f>
        <v/>
      </c>
      <c r="O3" s="33" t="str">
        <f>IF('Comptage Décadaire'!P4&lt;&gt;"",VLOOKUP('Comptage Décadaire'!P4,Utilisateurs!$D:$F,3,FALSE),"")</f>
        <v/>
      </c>
      <c r="P3" s="33" t="str">
        <f>IF('Comptage Décadaire'!Q4&lt;&gt;"",VLOOKUP('Comptage Décadaire'!Q4,Utilisateurs!$D:$F,3,FALSE),"")</f>
        <v/>
      </c>
      <c r="Q3" s="33" t="str">
        <f>IF('Comptage Décadaire'!R4&lt;&gt;"",VLOOKUP('Comptage Décadaire'!R4,Utilisateurs!$D:$F,3,FALSE),"")</f>
        <v/>
      </c>
      <c r="R3" s="30" t="str">
        <f>IF('Comptage Décadaire'!S4&lt;&gt;"",VLOOKUP('Comptage Décadaire'!S4,Nomenclature!$N:$O,2,FALSE),"")</f>
        <v/>
      </c>
      <c r="S3" s="30" t="str">
        <f>IF('Comptage Décadaire'!T4&lt;&gt;"",VLOOKUP('Comptage Décadaire'!T4,'Comptage Décadaire'!T:T,1,FALSE),"")</f>
        <v/>
      </c>
      <c r="T3" s="30" t="str">
        <f>IF('Comptage Décadaire'!U4&lt;&gt;"",VLOOKUP('Comptage Décadaire'!U4,'Comptage Décadaire'!U:U,1,FALSE),"")</f>
        <v/>
      </c>
      <c r="U3" s="30" t="str">
        <f>IF('Comptage Décadaire'!V4&lt;&gt;"",VLOOKUP('Comptage Décadaire'!V4,'Comptage Décadaire'!V:V,1,FALSE),"")</f>
        <v/>
      </c>
      <c r="V3" s="30" t="str">
        <f>IF('Comptage Décadaire'!W4&lt;&gt;"",VLOOKUP('Comptage Décadaire'!W4,'Comptage Décadaire'!W:W,1,FALSE),"")</f>
        <v/>
      </c>
      <c r="W3" s="30" t="str">
        <f>IF('Comptage Décadaire'!X4&lt;&gt;"",VLOOKUP('Comptage Décadaire'!X4,'Comptage Décadaire'!X:X,1,FALSE),"")</f>
        <v/>
      </c>
      <c r="X3" s="30" t="str">
        <f>IF('Comptage Décadaire'!Y4&lt;&gt;"",VLOOKUP('Comptage Décadaire'!Y4,'Comptage Décadaire'!Y:Y,1,FALSE),"")</f>
        <v/>
      </c>
      <c r="Y3" s="30" t="str">
        <f>IF('Comptage Décadaire'!Z4&lt;&gt;"",VLOOKUP('Comptage Décadaire'!Z4,Nomenclature!$F$2:$G$7,2,FALSE),"")</f>
        <v/>
      </c>
      <c r="Z3" s="30" t="str">
        <f>IF('Comptage Décadaire'!AA4&lt;&gt;"",VLOOKUP('Comptage Décadaire'!AA4,Nomenclature!$H$2:$I$31,2,FALSE),"")</f>
        <v/>
      </c>
      <c r="AA3" s="30" t="str">
        <f>IF('Comptage Décadaire'!AB4&lt;&gt;"",VLOOKUP('Comptage Décadaire'!AB4,Nomenclature!$J$2:$K$21,2,FALSE),"")</f>
        <v/>
      </c>
      <c r="AB3" s="30" t="str">
        <f>IF('Comptage Décadaire'!AC4&lt;&gt;"",VLOOKUP('Comptage Décadaire'!AC4,'Comptage Décadaire'!AC:AC,1,FALSE),"")</f>
        <v/>
      </c>
      <c r="AC3" s="32" t="str">
        <f>IF('Comptage Décadaire'!AD4&lt;&gt;"",VLOOKUP('Comptage Décadaire'!AD4,Nomenclature!$L$2:$M$8,2,FALSE),"")</f>
        <v/>
      </c>
      <c r="AD3" s="32" t="str">
        <f>IF('Comptage Décadaire'!AE4&lt;&gt;"",VLOOKUP('Comptage Décadaire'!AE4,Utilisateurs!$D$2:$F$81,3,FALSE),"")</f>
        <v/>
      </c>
      <c r="AE3" s="35" t="str">
        <f>IF('Comptage Décadaire'!AF4&lt;&gt;"",VLOOKUP('Comptage Décadaire'!AF4,'Comptage Décadaire'!AF:AF,1,FALSE),"")</f>
        <v/>
      </c>
      <c r="AF3" s="32" t="str">
        <f>IF('Comptage Décadaire'!AG4&lt;&gt;"",VLOOKUP('Comptage Décadaire'!AG4,'Comptage Décadaire'!AG:AG,1,FALSE),"")</f>
        <v/>
      </c>
    </row>
    <row r="4" spans="1:32" x14ac:dyDescent="0.25">
      <c r="A4" s="25" t="str">
        <f>IF('Comptage Décadaire'!A5&lt;&gt;"",VLOOKUP('Comptage Décadaire'!A5,'Comptage Décadaire'!A:A,1,FALSE),"")</f>
        <v/>
      </c>
      <c r="B4" s="27" t="str">
        <f>IF('Comptage Décadaire'!B5&lt;&gt;"",VLOOKUP('Comptage Décadaire'!B5,'Comptage Décadaire'!B:B,1,FALSE),"")</f>
        <v/>
      </c>
      <c r="C4" s="28" t="str">
        <f>IF('Comptage Décadaire'!C5&lt;&gt;"",VLOOKUP('Comptage Décadaire'!C5,'Comptage Décadaire'!C:C,1,FALSE),"")</f>
        <v/>
      </c>
      <c r="D4" s="29" t="str">
        <f>IF('Comptage Décadaire'!D5&lt;&gt;"",VLOOKUP('Comptage Décadaire'!D5,Sites!$A:$B,2,FALSE),"")</f>
        <v/>
      </c>
      <c r="E4" s="29" t="str">
        <f>IF('Comptage Décadaire'!E5&lt;&gt;"",VLOOKUP('Comptage Décadaire'!E5,'Comptage Décadaire'!E:E,1,FALSE),"")</f>
        <v/>
      </c>
      <c r="F4" s="29" t="str">
        <f>IF('Comptage Décadaire'!F5&lt;&gt;"",VLOOKUP('Comptage Décadaire'!F5,Nomenclature!$B$2:$C$4,2,FALSE),"")</f>
        <v/>
      </c>
      <c r="G4" s="29" t="str">
        <f>IF('Comptage Décadaire'!G5&lt;&gt;"",VLOOKUP('Comptage Décadaire'!G5,'Comptage Décadaire'!G:G,1,FALSE),"")</f>
        <v/>
      </c>
      <c r="H4" s="29" t="str">
        <f>IF('Comptage Décadaire'!H5&lt;&gt;"",VLOOKUP('Comptage Décadaire'!H5,Nomenclature!$D$2:$E$7,2,FALSE),"")</f>
        <v/>
      </c>
      <c r="I4" s="30" t="str">
        <f>IF('Comptage Décadaire'!J5&lt;&gt;"",VLOOKUP('Comptage Décadaire'!J5,'Comptage Décadaire'!J:J,1,FALSE),"")</f>
        <v/>
      </c>
      <c r="J4" s="30" t="str">
        <f>IF('Comptage Décadaire'!K5&lt;&gt;"",VLOOKUP('Comptage Décadaire'!K5,'Comptage Décadaire'!K:K,1,FALSE),"")</f>
        <v/>
      </c>
      <c r="K4" s="30" t="str">
        <f>IF('Comptage Décadaire'!L5&lt;&gt;"",VLOOKUP('Comptage Décadaire'!L5,'Comptage Décadaire'!L:L,1,FALSE),"")</f>
        <v/>
      </c>
      <c r="L4" s="31" t="str">
        <f>IF('Comptage Décadaire'!M5&lt;&gt;"",VLOOKUP('Comptage Décadaire'!M5,'Comptage Décadaire'!M:M,1,FALSE),"")</f>
        <v/>
      </c>
      <c r="M4" s="33" t="str">
        <f>IF('Comptage Décadaire'!N5&lt;&gt;"",VLOOKUP('Comptage Décadaire'!N5,Utilisateurs!$D:$F,3,FALSE),"")</f>
        <v/>
      </c>
      <c r="N4" s="33" t="str">
        <f>IF('Comptage Décadaire'!O5&lt;&gt;"",VLOOKUP('Comptage Décadaire'!O5,Utilisateurs!$D:$F,3,FALSE),"")</f>
        <v/>
      </c>
      <c r="O4" s="33" t="str">
        <f>IF('Comptage Décadaire'!P5&lt;&gt;"",VLOOKUP('Comptage Décadaire'!P5,Utilisateurs!$D:$F,3,FALSE),"")</f>
        <v/>
      </c>
      <c r="P4" s="33" t="str">
        <f>IF('Comptage Décadaire'!Q5&lt;&gt;"",VLOOKUP('Comptage Décadaire'!Q5,Utilisateurs!$D:$F,3,FALSE),"")</f>
        <v/>
      </c>
      <c r="Q4" s="33" t="str">
        <f>IF('Comptage Décadaire'!R5&lt;&gt;"",VLOOKUP('Comptage Décadaire'!R5,Utilisateurs!$D:$F,3,FALSE),"")</f>
        <v/>
      </c>
      <c r="R4" s="30" t="str">
        <f>IF('Comptage Décadaire'!S5&lt;&gt;"",VLOOKUP('Comptage Décadaire'!S5,Nomenclature!$N:$O,2,FALSE),"")</f>
        <v/>
      </c>
      <c r="S4" s="30" t="str">
        <f>IF('Comptage Décadaire'!T5&lt;&gt;"",VLOOKUP('Comptage Décadaire'!T5,'Comptage Décadaire'!T:T,1,FALSE),"")</f>
        <v/>
      </c>
      <c r="T4" s="30" t="str">
        <f>IF('Comptage Décadaire'!U5&lt;&gt;"",VLOOKUP('Comptage Décadaire'!U5,'Comptage Décadaire'!U:U,1,FALSE),"")</f>
        <v/>
      </c>
      <c r="U4" s="30" t="str">
        <f>IF('Comptage Décadaire'!V5&lt;&gt;"",VLOOKUP('Comptage Décadaire'!V5,'Comptage Décadaire'!V:V,1,FALSE),"")</f>
        <v/>
      </c>
      <c r="V4" s="30" t="str">
        <f>IF('Comptage Décadaire'!W5&lt;&gt;"",VLOOKUP('Comptage Décadaire'!W5,'Comptage Décadaire'!W:W,1,FALSE),"")</f>
        <v/>
      </c>
      <c r="W4" s="30" t="str">
        <f>IF('Comptage Décadaire'!X5&lt;&gt;"",VLOOKUP('Comptage Décadaire'!X5,'Comptage Décadaire'!X:X,1,FALSE),"")</f>
        <v/>
      </c>
      <c r="X4" s="30" t="str">
        <f>IF('Comptage Décadaire'!Y5&lt;&gt;"",VLOOKUP('Comptage Décadaire'!Y5,'Comptage Décadaire'!Y:Y,1,FALSE),"")</f>
        <v/>
      </c>
      <c r="Y4" s="30" t="str">
        <f>IF('Comptage Décadaire'!Z5&lt;&gt;"",VLOOKUP('Comptage Décadaire'!Z5,Nomenclature!$F$2:$G$7,2,FALSE),"")</f>
        <v/>
      </c>
      <c r="Z4" s="30" t="str">
        <f>IF('Comptage Décadaire'!AA5&lt;&gt;"",VLOOKUP('Comptage Décadaire'!AA5,Nomenclature!$H$2:$I$31,2,FALSE),"")</f>
        <v/>
      </c>
      <c r="AA4" s="30" t="str">
        <f>IF('Comptage Décadaire'!AB5&lt;&gt;"",VLOOKUP('Comptage Décadaire'!AB5,Nomenclature!$J$2:$K$21,2,FALSE),"")</f>
        <v/>
      </c>
      <c r="AB4" s="30" t="str">
        <f>IF('Comptage Décadaire'!AC5&lt;&gt;"",VLOOKUP('Comptage Décadaire'!AC5,'Comptage Décadaire'!AC:AC,1,FALSE),"")</f>
        <v/>
      </c>
      <c r="AC4" s="32" t="str">
        <f>IF('Comptage Décadaire'!AD5&lt;&gt;"",VLOOKUP('Comptage Décadaire'!AD5,Nomenclature!$L$2:$M$8,2,FALSE),"")</f>
        <v/>
      </c>
      <c r="AD4" s="32" t="str">
        <f>IF('Comptage Décadaire'!AE5&lt;&gt;"",VLOOKUP('Comptage Décadaire'!AE5,Utilisateurs!$D$2:$F$81,3,FALSE),"")</f>
        <v/>
      </c>
      <c r="AE4" s="35" t="str">
        <f>IF('Comptage Décadaire'!AF5&lt;&gt;"",VLOOKUP('Comptage Décadaire'!AF5,'Comptage Décadaire'!AF:AF,1,FALSE),"")</f>
        <v/>
      </c>
      <c r="AF4" s="32" t="str">
        <f>IF('Comptage Décadaire'!AG5&lt;&gt;"",VLOOKUP('Comptage Décadaire'!AG5,'Comptage Décadaire'!AG:AG,1,FALSE),"")</f>
        <v/>
      </c>
    </row>
    <row r="5" spans="1:32" x14ac:dyDescent="0.25">
      <c r="A5" s="25" t="str">
        <f>IF('Comptage Décadaire'!A6&lt;&gt;"",VLOOKUP('Comptage Décadaire'!A6,'Comptage Décadaire'!A:A,1,FALSE),"")</f>
        <v/>
      </c>
      <c r="B5" s="27" t="str">
        <f>IF('Comptage Décadaire'!B6&lt;&gt;"",VLOOKUP('Comptage Décadaire'!B6,'Comptage Décadaire'!B:B,1,FALSE),"")</f>
        <v/>
      </c>
      <c r="C5" s="28" t="str">
        <f>IF('Comptage Décadaire'!C6&lt;&gt;"",VLOOKUP('Comptage Décadaire'!C6,'Comptage Décadaire'!C:C,1,FALSE),"")</f>
        <v/>
      </c>
      <c r="D5" s="29" t="str">
        <f>IF('Comptage Décadaire'!D6&lt;&gt;"",VLOOKUP('Comptage Décadaire'!D6,Sites!$A:$B,2,FALSE),"")</f>
        <v/>
      </c>
      <c r="E5" s="29" t="str">
        <f>IF('Comptage Décadaire'!E6&lt;&gt;"",VLOOKUP('Comptage Décadaire'!E6,'Comptage Décadaire'!E:E,1,FALSE),"")</f>
        <v/>
      </c>
      <c r="F5" s="29" t="str">
        <f>IF('Comptage Décadaire'!F6&lt;&gt;"",VLOOKUP('Comptage Décadaire'!F6,Nomenclature!$B$2:$C$4,2,FALSE),"")</f>
        <v/>
      </c>
      <c r="G5" s="29" t="str">
        <f>IF('Comptage Décadaire'!G6&lt;&gt;"",VLOOKUP('Comptage Décadaire'!G6,'Comptage Décadaire'!G:G,1,FALSE),"")</f>
        <v/>
      </c>
      <c r="H5" s="29" t="str">
        <f>IF('Comptage Décadaire'!H6&lt;&gt;"",VLOOKUP('Comptage Décadaire'!H6,Nomenclature!$D$2:$E$7,2,FALSE),"")</f>
        <v/>
      </c>
      <c r="I5" s="30" t="str">
        <f>IF('Comptage Décadaire'!J6&lt;&gt;"",VLOOKUP('Comptage Décadaire'!J6,'Comptage Décadaire'!J:J,1,FALSE),"")</f>
        <v/>
      </c>
      <c r="J5" s="30" t="str">
        <f>IF('Comptage Décadaire'!K6&lt;&gt;"",VLOOKUP('Comptage Décadaire'!K6,'Comptage Décadaire'!K:K,1,FALSE),"")</f>
        <v/>
      </c>
      <c r="K5" s="30" t="str">
        <f>IF('Comptage Décadaire'!L6&lt;&gt;"",VLOOKUP('Comptage Décadaire'!L6,'Comptage Décadaire'!L:L,1,FALSE),"")</f>
        <v/>
      </c>
      <c r="L5" s="31" t="str">
        <f>IF('Comptage Décadaire'!M6&lt;&gt;"",VLOOKUP('Comptage Décadaire'!M6,'Comptage Décadaire'!M:M,1,FALSE),"")</f>
        <v/>
      </c>
      <c r="M5" s="33" t="str">
        <f>IF('Comptage Décadaire'!N6&lt;&gt;"",VLOOKUP('Comptage Décadaire'!N6,Utilisateurs!$D:$F,3,FALSE),"")</f>
        <v/>
      </c>
      <c r="N5" s="33" t="str">
        <f>IF('Comptage Décadaire'!O6&lt;&gt;"",VLOOKUP('Comptage Décadaire'!O6,Utilisateurs!$D:$F,3,FALSE),"")</f>
        <v/>
      </c>
      <c r="O5" s="33" t="str">
        <f>IF('Comptage Décadaire'!P6&lt;&gt;"",VLOOKUP('Comptage Décadaire'!P6,Utilisateurs!$D:$F,3,FALSE),"")</f>
        <v/>
      </c>
      <c r="P5" s="33" t="str">
        <f>IF('Comptage Décadaire'!Q6&lt;&gt;"",VLOOKUP('Comptage Décadaire'!Q6,Utilisateurs!$D:$F,3,FALSE),"")</f>
        <v/>
      </c>
      <c r="Q5" s="33" t="str">
        <f>IF('Comptage Décadaire'!R6&lt;&gt;"",VLOOKUP('Comptage Décadaire'!R6,Utilisateurs!$D:$F,3,FALSE),"")</f>
        <v/>
      </c>
      <c r="R5" s="30" t="str">
        <f>IF('Comptage Décadaire'!S6&lt;&gt;"",VLOOKUP('Comptage Décadaire'!S6,Nomenclature!$N:$O,2,FALSE),"")</f>
        <v/>
      </c>
      <c r="S5" s="30" t="str">
        <f>IF('Comptage Décadaire'!T6&lt;&gt;"",VLOOKUP('Comptage Décadaire'!T6,'Comptage Décadaire'!T:T,1,FALSE),"")</f>
        <v/>
      </c>
      <c r="T5" s="30" t="str">
        <f>IF('Comptage Décadaire'!U6&lt;&gt;"",VLOOKUP('Comptage Décadaire'!U6,'Comptage Décadaire'!U:U,1,FALSE),"")</f>
        <v/>
      </c>
      <c r="U5" s="30" t="str">
        <f>IF('Comptage Décadaire'!V6&lt;&gt;"",VLOOKUP('Comptage Décadaire'!V6,'Comptage Décadaire'!V:V,1,FALSE),"")</f>
        <v/>
      </c>
      <c r="V5" s="30" t="str">
        <f>IF('Comptage Décadaire'!W6&lt;&gt;"",VLOOKUP('Comptage Décadaire'!W6,'Comptage Décadaire'!W:W,1,FALSE),"")</f>
        <v/>
      </c>
      <c r="W5" s="30" t="str">
        <f>IF('Comptage Décadaire'!X6&lt;&gt;"",VLOOKUP('Comptage Décadaire'!X6,'Comptage Décadaire'!X:X,1,FALSE),"")</f>
        <v/>
      </c>
      <c r="X5" s="30" t="str">
        <f>IF('Comptage Décadaire'!Y6&lt;&gt;"",VLOOKUP('Comptage Décadaire'!Y6,'Comptage Décadaire'!Y:Y,1,FALSE),"")</f>
        <v/>
      </c>
      <c r="Y5" s="30" t="str">
        <f>IF('Comptage Décadaire'!Z6&lt;&gt;"",VLOOKUP('Comptage Décadaire'!Z6,Nomenclature!$F$2:$G$7,2,FALSE),"")</f>
        <v/>
      </c>
      <c r="Z5" s="30" t="str">
        <f>IF('Comptage Décadaire'!AA6&lt;&gt;"",VLOOKUP('Comptage Décadaire'!AA6,Nomenclature!$H$2:$I$31,2,FALSE),"")</f>
        <v/>
      </c>
      <c r="AA5" s="30" t="str">
        <f>IF('Comptage Décadaire'!AB6&lt;&gt;"",VLOOKUP('Comptage Décadaire'!AB6,Nomenclature!$J$2:$K$21,2,FALSE),"")</f>
        <v/>
      </c>
      <c r="AB5" s="30" t="str">
        <f>IF('Comptage Décadaire'!AC6&lt;&gt;"",VLOOKUP('Comptage Décadaire'!AC6,'Comptage Décadaire'!AC:AC,1,FALSE),"")</f>
        <v/>
      </c>
      <c r="AC5" s="32" t="str">
        <f>IF('Comptage Décadaire'!AD6&lt;&gt;"",VLOOKUP('Comptage Décadaire'!AD6,Nomenclature!$L$2:$M$8,2,FALSE),"")</f>
        <v/>
      </c>
      <c r="AD5" s="32" t="str">
        <f>IF('Comptage Décadaire'!AE6&lt;&gt;"",VLOOKUP('Comptage Décadaire'!AE6,Utilisateurs!$D$2:$F$81,3,FALSE),"")</f>
        <v/>
      </c>
      <c r="AE5" s="35" t="str">
        <f>IF('Comptage Décadaire'!AF6&lt;&gt;"",VLOOKUP('Comptage Décadaire'!AF6,'Comptage Décadaire'!AF:AF,1,FALSE),"")</f>
        <v/>
      </c>
      <c r="AF5" s="32" t="str">
        <f>IF('Comptage Décadaire'!AG6&lt;&gt;"",VLOOKUP('Comptage Décadaire'!AG6,'Comptage Décadaire'!AG:AG,1,FALSE),"")</f>
        <v/>
      </c>
    </row>
    <row r="6" spans="1:32" x14ac:dyDescent="0.25">
      <c r="A6" s="25" t="str">
        <f>IF('Comptage Décadaire'!A7&lt;&gt;"",VLOOKUP('Comptage Décadaire'!A7,'Comptage Décadaire'!A:A,1,FALSE),"")</f>
        <v/>
      </c>
      <c r="B6" s="27" t="str">
        <f>IF('Comptage Décadaire'!B7&lt;&gt;"",VLOOKUP('Comptage Décadaire'!B7,'Comptage Décadaire'!B:B,1,FALSE),"")</f>
        <v/>
      </c>
      <c r="C6" s="28" t="str">
        <f>IF('Comptage Décadaire'!C7&lt;&gt;"",VLOOKUP('Comptage Décadaire'!C7,'Comptage Décadaire'!C:C,1,FALSE),"")</f>
        <v/>
      </c>
      <c r="D6" s="29" t="str">
        <f>IF('Comptage Décadaire'!D7&lt;&gt;"",VLOOKUP('Comptage Décadaire'!D7,Sites!$A:$B,2,FALSE),"")</f>
        <v/>
      </c>
      <c r="E6" s="29" t="str">
        <f>IF('Comptage Décadaire'!E7&lt;&gt;"",VLOOKUP('Comptage Décadaire'!E7,'Comptage Décadaire'!E:E,1,FALSE),"")</f>
        <v/>
      </c>
      <c r="F6" s="29" t="str">
        <f>IF('Comptage Décadaire'!F7&lt;&gt;"",VLOOKUP('Comptage Décadaire'!F7,Nomenclature!$B$2:$C$4,2,FALSE),"")</f>
        <v/>
      </c>
      <c r="G6" s="29" t="str">
        <f>IF('Comptage Décadaire'!G7&lt;&gt;"",VLOOKUP('Comptage Décadaire'!G7,'Comptage Décadaire'!G:G,1,FALSE),"")</f>
        <v/>
      </c>
      <c r="H6" s="29" t="str">
        <f>IF('Comptage Décadaire'!H7&lt;&gt;"",VLOOKUP('Comptage Décadaire'!H7,Nomenclature!$D$2:$E$7,2,FALSE),"")</f>
        <v/>
      </c>
      <c r="I6" s="30" t="str">
        <f>IF('Comptage Décadaire'!J7&lt;&gt;"",VLOOKUP('Comptage Décadaire'!J7,'Comptage Décadaire'!J:J,1,FALSE),"")</f>
        <v/>
      </c>
      <c r="J6" s="30" t="str">
        <f>IF('Comptage Décadaire'!K7&lt;&gt;"",VLOOKUP('Comptage Décadaire'!K7,'Comptage Décadaire'!K:K,1,FALSE),"")</f>
        <v/>
      </c>
      <c r="K6" s="30" t="str">
        <f>IF('Comptage Décadaire'!L7&lt;&gt;"",VLOOKUP('Comptage Décadaire'!L7,'Comptage Décadaire'!L:L,1,FALSE),"")</f>
        <v/>
      </c>
      <c r="L6" s="31" t="str">
        <f>IF('Comptage Décadaire'!M7&lt;&gt;"",VLOOKUP('Comptage Décadaire'!M7,'Comptage Décadaire'!M:M,1,FALSE),"")</f>
        <v/>
      </c>
      <c r="M6" s="33" t="str">
        <f>IF('Comptage Décadaire'!N7&lt;&gt;"",VLOOKUP('Comptage Décadaire'!N7,Utilisateurs!$D:$F,3,FALSE),"")</f>
        <v/>
      </c>
      <c r="N6" s="33" t="str">
        <f>IF('Comptage Décadaire'!O7&lt;&gt;"",VLOOKUP('Comptage Décadaire'!O7,Utilisateurs!$D:$F,3,FALSE),"")</f>
        <v/>
      </c>
      <c r="O6" s="33" t="str">
        <f>IF('Comptage Décadaire'!P7&lt;&gt;"",VLOOKUP('Comptage Décadaire'!P7,Utilisateurs!$D:$F,3,FALSE),"")</f>
        <v/>
      </c>
      <c r="P6" s="33" t="str">
        <f>IF('Comptage Décadaire'!Q7&lt;&gt;"",VLOOKUP('Comptage Décadaire'!Q7,Utilisateurs!$D:$F,3,FALSE),"")</f>
        <v/>
      </c>
      <c r="Q6" s="33" t="str">
        <f>IF('Comptage Décadaire'!R7&lt;&gt;"",VLOOKUP('Comptage Décadaire'!R7,Utilisateurs!$D:$F,3,FALSE),"")</f>
        <v/>
      </c>
      <c r="R6" s="30" t="str">
        <f>IF('Comptage Décadaire'!S7&lt;&gt;"",VLOOKUP('Comptage Décadaire'!S7,Nomenclature!$N:$O,2,FALSE),"")</f>
        <v/>
      </c>
      <c r="S6" s="30" t="str">
        <f>IF('Comptage Décadaire'!T7&lt;&gt;"",VLOOKUP('Comptage Décadaire'!T7,'Comptage Décadaire'!T:T,1,FALSE),"")</f>
        <v/>
      </c>
      <c r="T6" s="30" t="str">
        <f>IF('Comptage Décadaire'!U7&lt;&gt;"",VLOOKUP('Comptage Décadaire'!U7,'Comptage Décadaire'!U:U,1,FALSE),"")</f>
        <v/>
      </c>
      <c r="U6" s="30" t="str">
        <f>IF('Comptage Décadaire'!V7&lt;&gt;"",VLOOKUP('Comptage Décadaire'!V7,'Comptage Décadaire'!V:V,1,FALSE),"")</f>
        <v/>
      </c>
      <c r="V6" s="30" t="str">
        <f>IF('Comptage Décadaire'!W7&lt;&gt;"",VLOOKUP('Comptage Décadaire'!W7,'Comptage Décadaire'!W:W,1,FALSE),"")</f>
        <v/>
      </c>
      <c r="W6" s="30" t="str">
        <f>IF('Comptage Décadaire'!X7&lt;&gt;"",VLOOKUP('Comptage Décadaire'!X7,'Comptage Décadaire'!X:X,1,FALSE),"")</f>
        <v/>
      </c>
      <c r="X6" s="30" t="str">
        <f>IF('Comptage Décadaire'!Y7&lt;&gt;"",VLOOKUP('Comptage Décadaire'!Y7,'Comptage Décadaire'!Y:Y,1,FALSE),"")</f>
        <v/>
      </c>
      <c r="Y6" s="30" t="str">
        <f>IF('Comptage Décadaire'!Z7&lt;&gt;"",VLOOKUP('Comptage Décadaire'!Z7,Nomenclature!$F$2:$G$7,2,FALSE),"")</f>
        <v/>
      </c>
      <c r="Z6" s="30" t="str">
        <f>IF('Comptage Décadaire'!AA7&lt;&gt;"",VLOOKUP('Comptage Décadaire'!AA7,Nomenclature!$H$2:$I$31,2,FALSE),"")</f>
        <v/>
      </c>
      <c r="AA6" s="30" t="str">
        <f>IF('Comptage Décadaire'!AB7&lt;&gt;"",VLOOKUP('Comptage Décadaire'!AB7,Nomenclature!$J$2:$K$21,2,FALSE),"")</f>
        <v/>
      </c>
      <c r="AB6" s="30" t="str">
        <f>IF('Comptage Décadaire'!AC7&lt;&gt;"",VLOOKUP('Comptage Décadaire'!AC7,'Comptage Décadaire'!AC:AC,1,FALSE),"")</f>
        <v/>
      </c>
      <c r="AC6" s="32" t="str">
        <f>IF('Comptage Décadaire'!AD7&lt;&gt;"",VLOOKUP('Comptage Décadaire'!AD7,Nomenclature!$L$2:$M$8,2,FALSE),"")</f>
        <v/>
      </c>
      <c r="AD6" s="32" t="str">
        <f>IF('Comptage Décadaire'!AE7&lt;&gt;"",VLOOKUP('Comptage Décadaire'!AE7,Utilisateurs!$D$2:$F$81,3,FALSE),"")</f>
        <v/>
      </c>
      <c r="AE6" s="35" t="str">
        <f>IF('Comptage Décadaire'!AF7&lt;&gt;"",VLOOKUP('Comptage Décadaire'!AF7,'Comptage Décadaire'!AF:AF,1,FALSE),"")</f>
        <v/>
      </c>
      <c r="AF6" s="32" t="str">
        <f>IF('Comptage Décadaire'!AG7&lt;&gt;"",VLOOKUP('Comptage Décadaire'!AG7,'Comptage Décadaire'!AG:AG,1,FALSE),"")</f>
        <v/>
      </c>
    </row>
    <row r="7" spans="1:32" x14ac:dyDescent="0.25">
      <c r="A7" s="25" t="str">
        <f>IF('Comptage Décadaire'!A8&lt;&gt;"",VLOOKUP('Comptage Décadaire'!A8,'Comptage Décadaire'!A:A,1,FALSE),"")</f>
        <v/>
      </c>
      <c r="B7" s="27" t="str">
        <f>IF('Comptage Décadaire'!B8&lt;&gt;"",VLOOKUP('Comptage Décadaire'!B8,'Comptage Décadaire'!B:B,1,FALSE),"")</f>
        <v/>
      </c>
      <c r="C7" s="28" t="str">
        <f>IF('Comptage Décadaire'!C8&lt;&gt;"",VLOOKUP('Comptage Décadaire'!C8,'Comptage Décadaire'!C:C,1,FALSE),"")</f>
        <v/>
      </c>
      <c r="D7" s="29" t="str">
        <f>IF('Comptage Décadaire'!D8&lt;&gt;"",VLOOKUP('Comptage Décadaire'!D8,Sites!$A:$B,2,FALSE),"")</f>
        <v/>
      </c>
      <c r="E7" s="29" t="str">
        <f>IF('Comptage Décadaire'!E8&lt;&gt;"",VLOOKUP('Comptage Décadaire'!E8,'Comptage Décadaire'!E:E,1,FALSE),"")</f>
        <v/>
      </c>
      <c r="F7" s="29" t="str">
        <f>IF('Comptage Décadaire'!F8&lt;&gt;"",VLOOKUP('Comptage Décadaire'!F8,Nomenclature!$B$2:$C$4,2,FALSE),"")</f>
        <v/>
      </c>
      <c r="G7" s="29" t="str">
        <f>IF('Comptage Décadaire'!G8&lt;&gt;"",VLOOKUP('Comptage Décadaire'!G8,'Comptage Décadaire'!G:G,1,FALSE),"")</f>
        <v/>
      </c>
      <c r="H7" s="29" t="str">
        <f>IF('Comptage Décadaire'!H8&lt;&gt;"",VLOOKUP('Comptage Décadaire'!H8,Nomenclature!$D$2:$E$7,2,FALSE),"")</f>
        <v/>
      </c>
      <c r="I7" s="30" t="str">
        <f>IF('Comptage Décadaire'!J8&lt;&gt;"",VLOOKUP('Comptage Décadaire'!J8,'Comptage Décadaire'!J:J,1,FALSE),"")</f>
        <v/>
      </c>
      <c r="J7" s="30" t="str">
        <f>IF('Comptage Décadaire'!K8&lt;&gt;"",VLOOKUP('Comptage Décadaire'!K8,'Comptage Décadaire'!K:K,1,FALSE),"")</f>
        <v/>
      </c>
      <c r="K7" s="30" t="str">
        <f>IF('Comptage Décadaire'!L8&lt;&gt;"",VLOOKUP('Comptage Décadaire'!L8,'Comptage Décadaire'!L:L,1,FALSE),"")</f>
        <v/>
      </c>
      <c r="L7" s="31" t="str">
        <f>IF('Comptage Décadaire'!M8&lt;&gt;"",VLOOKUP('Comptage Décadaire'!M8,'Comptage Décadaire'!M:M,1,FALSE),"")</f>
        <v/>
      </c>
      <c r="M7" s="33" t="str">
        <f>IF('Comptage Décadaire'!N8&lt;&gt;"",VLOOKUP('Comptage Décadaire'!N8,Utilisateurs!$D:$F,3,FALSE),"")</f>
        <v/>
      </c>
      <c r="N7" s="33" t="str">
        <f>IF('Comptage Décadaire'!O8&lt;&gt;"",VLOOKUP('Comptage Décadaire'!O8,Utilisateurs!$D:$F,3,FALSE),"")</f>
        <v/>
      </c>
      <c r="O7" s="33" t="str">
        <f>IF('Comptage Décadaire'!P8&lt;&gt;"",VLOOKUP('Comptage Décadaire'!P8,Utilisateurs!$D:$F,3,FALSE),"")</f>
        <v/>
      </c>
      <c r="P7" s="33" t="str">
        <f>IF('Comptage Décadaire'!Q8&lt;&gt;"",VLOOKUP('Comptage Décadaire'!Q8,Utilisateurs!$D:$F,3,FALSE),"")</f>
        <v/>
      </c>
      <c r="Q7" s="33" t="str">
        <f>IF('Comptage Décadaire'!R8&lt;&gt;"",VLOOKUP('Comptage Décadaire'!R8,Utilisateurs!$D:$F,3,FALSE),"")</f>
        <v/>
      </c>
      <c r="R7" s="30" t="str">
        <f>IF('Comptage Décadaire'!S8&lt;&gt;"",VLOOKUP('Comptage Décadaire'!S8,Nomenclature!$N:$O,2,FALSE),"")</f>
        <v/>
      </c>
      <c r="S7" s="30" t="str">
        <f>IF('Comptage Décadaire'!T8&lt;&gt;"",VLOOKUP('Comptage Décadaire'!T8,'Comptage Décadaire'!T:T,1,FALSE),"")</f>
        <v/>
      </c>
      <c r="T7" s="30" t="str">
        <f>IF('Comptage Décadaire'!U8&lt;&gt;"",VLOOKUP('Comptage Décadaire'!U8,'Comptage Décadaire'!U:U,1,FALSE),"")</f>
        <v/>
      </c>
      <c r="U7" s="30" t="str">
        <f>IF('Comptage Décadaire'!V8&lt;&gt;"",VLOOKUP('Comptage Décadaire'!V8,'Comptage Décadaire'!V:V,1,FALSE),"")</f>
        <v/>
      </c>
      <c r="V7" s="30" t="str">
        <f>IF('Comptage Décadaire'!W8&lt;&gt;"",VLOOKUP('Comptage Décadaire'!W8,'Comptage Décadaire'!W:W,1,FALSE),"")</f>
        <v/>
      </c>
      <c r="W7" s="30" t="str">
        <f>IF('Comptage Décadaire'!X8&lt;&gt;"",VLOOKUP('Comptage Décadaire'!X8,'Comptage Décadaire'!X:X,1,FALSE),"")</f>
        <v/>
      </c>
      <c r="X7" s="30" t="str">
        <f>IF('Comptage Décadaire'!Y8&lt;&gt;"",VLOOKUP('Comptage Décadaire'!Y8,'Comptage Décadaire'!Y:Y,1,FALSE),"")</f>
        <v/>
      </c>
      <c r="Y7" s="30" t="str">
        <f>IF('Comptage Décadaire'!Z8&lt;&gt;"",VLOOKUP('Comptage Décadaire'!Z8,Nomenclature!$F$2:$G$7,2,FALSE),"")</f>
        <v/>
      </c>
      <c r="Z7" s="30" t="str">
        <f>IF('Comptage Décadaire'!AA8&lt;&gt;"",VLOOKUP('Comptage Décadaire'!AA8,Nomenclature!$H$2:$I$31,2,FALSE),"")</f>
        <v/>
      </c>
      <c r="AA7" s="30" t="str">
        <f>IF('Comptage Décadaire'!AB8&lt;&gt;"",VLOOKUP('Comptage Décadaire'!AB8,Nomenclature!$J$2:$K$21,2,FALSE),"")</f>
        <v/>
      </c>
      <c r="AB7" s="30" t="str">
        <f>IF('Comptage Décadaire'!AC8&lt;&gt;"",VLOOKUP('Comptage Décadaire'!AC8,'Comptage Décadaire'!AC:AC,1,FALSE),"")</f>
        <v/>
      </c>
      <c r="AC7" s="32" t="str">
        <f>IF('Comptage Décadaire'!AD8&lt;&gt;"",VLOOKUP('Comptage Décadaire'!AD8,Nomenclature!$L$2:$M$8,2,FALSE),"")</f>
        <v/>
      </c>
      <c r="AD7" s="32" t="str">
        <f>IF('Comptage Décadaire'!AE8&lt;&gt;"",VLOOKUP('Comptage Décadaire'!AE8,Utilisateurs!$D$2:$F$81,3,FALSE),"")</f>
        <v/>
      </c>
      <c r="AE7" s="35" t="str">
        <f>IF('Comptage Décadaire'!AF8&lt;&gt;"",VLOOKUP('Comptage Décadaire'!AF8,'Comptage Décadaire'!AF:AF,1,FALSE),"")</f>
        <v/>
      </c>
      <c r="AF7" s="32" t="str">
        <f>IF('Comptage Décadaire'!AG8&lt;&gt;"",VLOOKUP('Comptage Décadaire'!AG8,'Comptage Décadaire'!AG:AG,1,FALSE),"")</f>
        <v/>
      </c>
    </row>
    <row r="8" spans="1:32" x14ac:dyDescent="0.25">
      <c r="A8" s="25" t="str">
        <f>IF('Comptage Décadaire'!A9&lt;&gt;"",VLOOKUP('Comptage Décadaire'!A9,'Comptage Décadaire'!A:A,1,FALSE),"")</f>
        <v/>
      </c>
      <c r="B8" s="27" t="str">
        <f>IF('Comptage Décadaire'!B9&lt;&gt;"",VLOOKUP('Comptage Décadaire'!B9,'Comptage Décadaire'!B:B,1,FALSE),"")</f>
        <v/>
      </c>
      <c r="C8" s="28" t="str">
        <f>IF('Comptage Décadaire'!C9&lt;&gt;"",VLOOKUP('Comptage Décadaire'!C9,'Comptage Décadaire'!C:C,1,FALSE),"")</f>
        <v/>
      </c>
      <c r="D8" s="29" t="str">
        <f>IF('Comptage Décadaire'!D9&lt;&gt;"",VLOOKUP('Comptage Décadaire'!D9,Sites!$A:$B,2,FALSE),"")</f>
        <v/>
      </c>
      <c r="E8" s="29" t="str">
        <f>IF('Comptage Décadaire'!E9&lt;&gt;"",VLOOKUP('Comptage Décadaire'!E9,'Comptage Décadaire'!E:E,1,FALSE),"")</f>
        <v/>
      </c>
      <c r="F8" s="29" t="str">
        <f>IF('Comptage Décadaire'!F9&lt;&gt;"",VLOOKUP('Comptage Décadaire'!F9,Nomenclature!$B$2:$C$4,2,FALSE),"")</f>
        <v/>
      </c>
      <c r="G8" s="29" t="str">
        <f>IF('Comptage Décadaire'!G9&lt;&gt;"",VLOOKUP('Comptage Décadaire'!G9,'Comptage Décadaire'!G:G,1,FALSE),"")</f>
        <v/>
      </c>
      <c r="H8" s="29" t="str">
        <f>IF('Comptage Décadaire'!H9&lt;&gt;"",VLOOKUP('Comptage Décadaire'!H9,Nomenclature!$D$2:$E$7,2,FALSE),"")</f>
        <v/>
      </c>
      <c r="I8" s="30" t="str">
        <f>IF('Comptage Décadaire'!J9&lt;&gt;"",VLOOKUP('Comptage Décadaire'!J9,'Comptage Décadaire'!J:J,1,FALSE),"")</f>
        <v/>
      </c>
      <c r="J8" s="30" t="str">
        <f>IF('Comptage Décadaire'!K9&lt;&gt;"",VLOOKUP('Comptage Décadaire'!K9,'Comptage Décadaire'!K:K,1,FALSE),"")</f>
        <v/>
      </c>
      <c r="K8" s="30" t="str">
        <f>IF('Comptage Décadaire'!L9&lt;&gt;"",VLOOKUP('Comptage Décadaire'!L9,'Comptage Décadaire'!L:L,1,FALSE),"")</f>
        <v/>
      </c>
      <c r="L8" s="31" t="str">
        <f>IF('Comptage Décadaire'!M9&lt;&gt;"",VLOOKUP('Comptage Décadaire'!M9,'Comptage Décadaire'!M:M,1,FALSE),"")</f>
        <v/>
      </c>
      <c r="M8" s="33" t="str">
        <f>IF('Comptage Décadaire'!N9&lt;&gt;"",VLOOKUP('Comptage Décadaire'!N9,Utilisateurs!$D:$F,3,FALSE),"")</f>
        <v/>
      </c>
      <c r="N8" s="33" t="str">
        <f>IF('Comptage Décadaire'!O9&lt;&gt;"",VLOOKUP('Comptage Décadaire'!O9,Utilisateurs!$D:$F,3,FALSE),"")</f>
        <v/>
      </c>
      <c r="O8" s="33" t="str">
        <f>IF('Comptage Décadaire'!P9&lt;&gt;"",VLOOKUP('Comptage Décadaire'!P9,Utilisateurs!$D:$F,3,FALSE),"")</f>
        <v/>
      </c>
      <c r="P8" s="33" t="str">
        <f>IF('Comptage Décadaire'!Q9&lt;&gt;"",VLOOKUP('Comptage Décadaire'!Q9,Utilisateurs!$D:$F,3,FALSE),"")</f>
        <v/>
      </c>
      <c r="Q8" s="33" t="str">
        <f>IF('Comptage Décadaire'!R9&lt;&gt;"",VLOOKUP('Comptage Décadaire'!R9,Utilisateurs!$D:$F,3,FALSE),"")</f>
        <v/>
      </c>
      <c r="R8" s="30" t="str">
        <f>IF('Comptage Décadaire'!S9&lt;&gt;"",VLOOKUP('Comptage Décadaire'!S9,Nomenclature!$N:$O,2,FALSE),"")</f>
        <v/>
      </c>
      <c r="S8" s="30" t="str">
        <f>IF('Comptage Décadaire'!T9&lt;&gt;"",VLOOKUP('Comptage Décadaire'!T9,'Comptage Décadaire'!T:T,1,FALSE),"")</f>
        <v/>
      </c>
      <c r="T8" s="30" t="str">
        <f>IF('Comptage Décadaire'!U9&lt;&gt;"",VLOOKUP('Comptage Décadaire'!U9,'Comptage Décadaire'!U:U,1,FALSE),"")</f>
        <v/>
      </c>
      <c r="U8" s="30" t="str">
        <f>IF('Comptage Décadaire'!V9&lt;&gt;"",VLOOKUP('Comptage Décadaire'!V9,'Comptage Décadaire'!V:V,1,FALSE),"")</f>
        <v/>
      </c>
      <c r="V8" s="30" t="str">
        <f>IF('Comptage Décadaire'!W9&lt;&gt;"",VLOOKUP('Comptage Décadaire'!W9,'Comptage Décadaire'!W:W,1,FALSE),"")</f>
        <v/>
      </c>
      <c r="W8" s="30" t="str">
        <f>IF('Comptage Décadaire'!X9&lt;&gt;"",VLOOKUP('Comptage Décadaire'!X9,'Comptage Décadaire'!X:X,1,FALSE),"")</f>
        <v/>
      </c>
      <c r="X8" s="30" t="str">
        <f>IF('Comptage Décadaire'!Y9&lt;&gt;"",VLOOKUP('Comptage Décadaire'!Y9,'Comptage Décadaire'!Y:Y,1,FALSE),"")</f>
        <v/>
      </c>
      <c r="Y8" s="30" t="str">
        <f>IF('Comptage Décadaire'!Z9&lt;&gt;"",VLOOKUP('Comptage Décadaire'!Z9,Nomenclature!$F$2:$G$7,2,FALSE),"")</f>
        <v/>
      </c>
      <c r="Z8" s="30" t="str">
        <f>IF('Comptage Décadaire'!AA9&lt;&gt;"",VLOOKUP('Comptage Décadaire'!AA9,Nomenclature!$H$2:$I$31,2,FALSE),"")</f>
        <v/>
      </c>
      <c r="AA8" s="30" t="str">
        <f>IF('Comptage Décadaire'!AB9&lt;&gt;"",VLOOKUP('Comptage Décadaire'!AB9,Nomenclature!$J$2:$K$21,2,FALSE),"")</f>
        <v/>
      </c>
      <c r="AB8" s="30" t="str">
        <f>IF('Comptage Décadaire'!AC9&lt;&gt;"",VLOOKUP('Comptage Décadaire'!AC9,'Comptage Décadaire'!AC:AC,1,FALSE),"")</f>
        <v/>
      </c>
      <c r="AC8" s="32" t="str">
        <f>IF('Comptage Décadaire'!AD9&lt;&gt;"",VLOOKUP('Comptage Décadaire'!AD9,Nomenclature!$L$2:$M$8,2,FALSE),"")</f>
        <v/>
      </c>
      <c r="AD8" s="32" t="str">
        <f>IF('Comptage Décadaire'!AE9&lt;&gt;"",VLOOKUP('Comptage Décadaire'!AE9,Utilisateurs!$D$2:$F$81,3,FALSE),"")</f>
        <v/>
      </c>
      <c r="AE8" s="35" t="str">
        <f>IF('Comptage Décadaire'!AF9&lt;&gt;"",VLOOKUP('Comptage Décadaire'!AF9,'Comptage Décadaire'!AF:AF,1,FALSE),"")</f>
        <v/>
      </c>
      <c r="AF8" s="32" t="str">
        <f>IF('Comptage Décadaire'!AG9&lt;&gt;"",VLOOKUP('Comptage Décadaire'!AG9,'Comptage Décadaire'!AG:AG,1,FALSE),"")</f>
        <v/>
      </c>
    </row>
    <row r="9" spans="1:32" x14ac:dyDescent="0.25">
      <c r="A9" s="25" t="str">
        <f>IF('Comptage Décadaire'!A10&lt;&gt;"",VLOOKUP('Comptage Décadaire'!A10,'Comptage Décadaire'!A:A,1,FALSE),"")</f>
        <v/>
      </c>
      <c r="B9" s="27" t="str">
        <f>IF('Comptage Décadaire'!B10&lt;&gt;"",VLOOKUP('Comptage Décadaire'!B10,'Comptage Décadaire'!B:B,1,FALSE),"")</f>
        <v/>
      </c>
      <c r="C9" s="28" t="str">
        <f>IF('Comptage Décadaire'!C10&lt;&gt;"",VLOOKUP('Comptage Décadaire'!C10,'Comptage Décadaire'!C:C,1,FALSE),"")</f>
        <v/>
      </c>
      <c r="D9" s="29" t="str">
        <f>IF('Comptage Décadaire'!D10&lt;&gt;"",VLOOKUP('Comptage Décadaire'!D10,Sites!$A:$B,2,FALSE),"")</f>
        <v/>
      </c>
      <c r="E9" s="29" t="str">
        <f>IF('Comptage Décadaire'!E10&lt;&gt;"",VLOOKUP('Comptage Décadaire'!E10,'Comptage Décadaire'!E:E,1,FALSE),"")</f>
        <v/>
      </c>
      <c r="F9" s="29" t="str">
        <f>IF('Comptage Décadaire'!F10&lt;&gt;"",VLOOKUP('Comptage Décadaire'!F10,Nomenclature!$B$2:$C$4,2,FALSE),"")</f>
        <v/>
      </c>
      <c r="G9" s="29" t="str">
        <f>IF('Comptage Décadaire'!G10&lt;&gt;"",VLOOKUP('Comptage Décadaire'!G10,'Comptage Décadaire'!G:G,1,FALSE),"")</f>
        <v/>
      </c>
      <c r="H9" s="29" t="str">
        <f>IF('Comptage Décadaire'!H10&lt;&gt;"",VLOOKUP('Comptage Décadaire'!H10,Nomenclature!$D$2:$E$7,2,FALSE),"")</f>
        <v/>
      </c>
      <c r="I9" s="30" t="str">
        <f>IF('Comptage Décadaire'!J10&lt;&gt;"",VLOOKUP('Comptage Décadaire'!J10,'Comptage Décadaire'!J:J,1,FALSE),"")</f>
        <v/>
      </c>
      <c r="J9" s="30" t="str">
        <f>IF('Comptage Décadaire'!K10&lt;&gt;"",VLOOKUP('Comptage Décadaire'!K10,'Comptage Décadaire'!K:K,1,FALSE),"")</f>
        <v/>
      </c>
      <c r="K9" s="30" t="str">
        <f>IF('Comptage Décadaire'!L10&lt;&gt;"",VLOOKUP('Comptage Décadaire'!L10,'Comptage Décadaire'!L:L,1,FALSE),"")</f>
        <v/>
      </c>
      <c r="L9" s="31" t="str">
        <f>IF('Comptage Décadaire'!M10&lt;&gt;"",VLOOKUP('Comptage Décadaire'!M10,'Comptage Décadaire'!M:M,1,FALSE),"")</f>
        <v/>
      </c>
      <c r="M9" s="33" t="str">
        <f>IF('Comptage Décadaire'!N10&lt;&gt;"",VLOOKUP('Comptage Décadaire'!N10,Utilisateurs!$D:$F,3,FALSE),"")</f>
        <v/>
      </c>
      <c r="N9" s="33" t="str">
        <f>IF('Comptage Décadaire'!O10&lt;&gt;"",VLOOKUP('Comptage Décadaire'!O10,Utilisateurs!$D:$F,3,FALSE),"")</f>
        <v/>
      </c>
      <c r="O9" s="33" t="str">
        <f>IF('Comptage Décadaire'!P10&lt;&gt;"",VLOOKUP('Comptage Décadaire'!P10,Utilisateurs!$D:$F,3,FALSE),"")</f>
        <v/>
      </c>
      <c r="P9" s="33" t="str">
        <f>IF('Comptage Décadaire'!Q10&lt;&gt;"",VLOOKUP('Comptage Décadaire'!Q10,Utilisateurs!$D:$F,3,FALSE),"")</f>
        <v/>
      </c>
      <c r="Q9" s="33" t="str">
        <f>IF('Comptage Décadaire'!R10&lt;&gt;"",VLOOKUP('Comptage Décadaire'!R10,Utilisateurs!$D:$F,3,FALSE),"")</f>
        <v/>
      </c>
      <c r="R9" s="30" t="str">
        <f>IF('Comptage Décadaire'!S10&lt;&gt;"",VLOOKUP('Comptage Décadaire'!S10,Nomenclature!$N:$O,2,FALSE),"")</f>
        <v/>
      </c>
      <c r="S9" s="30" t="str">
        <f>IF('Comptage Décadaire'!T10&lt;&gt;"",VLOOKUP('Comptage Décadaire'!T10,'Comptage Décadaire'!T:T,1,FALSE),"")</f>
        <v/>
      </c>
      <c r="T9" s="30" t="str">
        <f>IF('Comptage Décadaire'!U10&lt;&gt;"",VLOOKUP('Comptage Décadaire'!U10,'Comptage Décadaire'!U:U,1,FALSE),"")</f>
        <v/>
      </c>
      <c r="U9" s="30" t="str">
        <f>IF('Comptage Décadaire'!V10&lt;&gt;"",VLOOKUP('Comptage Décadaire'!V10,'Comptage Décadaire'!V:V,1,FALSE),"")</f>
        <v/>
      </c>
      <c r="V9" s="30" t="str">
        <f>IF('Comptage Décadaire'!W10&lt;&gt;"",VLOOKUP('Comptage Décadaire'!W10,'Comptage Décadaire'!W:W,1,FALSE),"")</f>
        <v/>
      </c>
      <c r="W9" s="30" t="str">
        <f>IF('Comptage Décadaire'!X10&lt;&gt;"",VLOOKUP('Comptage Décadaire'!X10,'Comptage Décadaire'!X:X,1,FALSE),"")</f>
        <v/>
      </c>
      <c r="X9" s="30" t="str">
        <f>IF('Comptage Décadaire'!Y10&lt;&gt;"",VLOOKUP('Comptage Décadaire'!Y10,'Comptage Décadaire'!Y:Y,1,FALSE),"")</f>
        <v/>
      </c>
      <c r="Y9" s="30" t="str">
        <f>IF('Comptage Décadaire'!Z10&lt;&gt;"",VLOOKUP('Comptage Décadaire'!Z10,Nomenclature!$F$2:$G$7,2,FALSE),"")</f>
        <v/>
      </c>
      <c r="Z9" s="30" t="str">
        <f>IF('Comptage Décadaire'!AA10&lt;&gt;"",VLOOKUP('Comptage Décadaire'!AA10,Nomenclature!$H$2:$I$31,2,FALSE),"")</f>
        <v/>
      </c>
      <c r="AA9" s="30" t="str">
        <f>IF('Comptage Décadaire'!AB10&lt;&gt;"",VLOOKUP('Comptage Décadaire'!AB10,Nomenclature!$J$2:$K$21,2,FALSE),"")</f>
        <v/>
      </c>
      <c r="AB9" s="30" t="str">
        <f>IF('Comptage Décadaire'!AC10&lt;&gt;"",VLOOKUP('Comptage Décadaire'!AC10,'Comptage Décadaire'!AC:AC,1,FALSE),"")</f>
        <v/>
      </c>
      <c r="AC9" s="32" t="str">
        <f>IF('Comptage Décadaire'!AD10&lt;&gt;"",VLOOKUP('Comptage Décadaire'!AD10,Nomenclature!$L$2:$M$8,2,FALSE),"")</f>
        <v/>
      </c>
      <c r="AD9" s="32" t="str">
        <f>IF('Comptage Décadaire'!AE10&lt;&gt;"",VLOOKUP('Comptage Décadaire'!AE10,Utilisateurs!$D$2:$F$81,3,FALSE),"")</f>
        <v/>
      </c>
      <c r="AE9" s="35" t="str">
        <f>IF('Comptage Décadaire'!AF10&lt;&gt;"",VLOOKUP('Comptage Décadaire'!AF10,'Comptage Décadaire'!AF:AF,1,FALSE),"")</f>
        <v/>
      </c>
      <c r="AF9" s="32" t="str">
        <f>IF('Comptage Décadaire'!AG10&lt;&gt;"",VLOOKUP('Comptage Décadaire'!AG10,'Comptage Décadaire'!AG:AG,1,FALSE),"")</f>
        <v/>
      </c>
    </row>
    <row r="10" spans="1:32" x14ac:dyDescent="0.25">
      <c r="A10" s="25" t="str">
        <f>IF('Comptage Décadaire'!A11&lt;&gt;"",VLOOKUP('Comptage Décadaire'!A11,'Comptage Décadaire'!A:A,1,FALSE),"")</f>
        <v/>
      </c>
      <c r="B10" s="27" t="str">
        <f>IF('Comptage Décadaire'!B11&lt;&gt;"",VLOOKUP('Comptage Décadaire'!B11,'Comptage Décadaire'!B:B,1,FALSE),"")</f>
        <v/>
      </c>
      <c r="C10" s="28" t="str">
        <f>IF('Comptage Décadaire'!C11&lt;&gt;"",VLOOKUP('Comptage Décadaire'!C11,'Comptage Décadaire'!C:C,1,FALSE),"")</f>
        <v/>
      </c>
      <c r="D10" s="29" t="str">
        <f>IF('Comptage Décadaire'!D11&lt;&gt;"",VLOOKUP('Comptage Décadaire'!D11,Sites!$A:$B,2,FALSE),"")</f>
        <v/>
      </c>
      <c r="E10" s="29" t="str">
        <f>IF('Comptage Décadaire'!E11&lt;&gt;"",VLOOKUP('Comptage Décadaire'!E11,'Comptage Décadaire'!E:E,1,FALSE),"")</f>
        <v/>
      </c>
      <c r="F10" s="29" t="str">
        <f>IF('Comptage Décadaire'!F11&lt;&gt;"",VLOOKUP('Comptage Décadaire'!F11,Nomenclature!$B$2:$C$4,2,FALSE),"")</f>
        <v/>
      </c>
      <c r="G10" s="29" t="str">
        <f>IF('Comptage Décadaire'!G11&lt;&gt;"",VLOOKUP('Comptage Décadaire'!G11,'Comptage Décadaire'!G:G,1,FALSE),"")</f>
        <v/>
      </c>
      <c r="H10" s="29" t="str">
        <f>IF('Comptage Décadaire'!H11&lt;&gt;"",VLOOKUP('Comptage Décadaire'!H11,Nomenclature!$D$2:$E$7,2,FALSE),"")</f>
        <v/>
      </c>
      <c r="I10" s="30" t="str">
        <f>IF('Comptage Décadaire'!J11&lt;&gt;"",VLOOKUP('Comptage Décadaire'!J11,'Comptage Décadaire'!J:J,1,FALSE),"")</f>
        <v/>
      </c>
      <c r="J10" s="30" t="str">
        <f>IF('Comptage Décadaire'!K11&lt;&gt;"",VLOOKUP('Comptage Décadaire'!K11,'Comptage Décadaire'!K:K,1,FALSE),"")</f>
        <v/>
      </c>
      <c r="K10" s="30" t="str">
        <f>IF('Comptage Décadaire'!L11&lt;&gt;"",VLOOKUP('Comptage Décadaire'!L11,'Comptage Décadaire'!L:L,1,FALSE),"")</f>
        <v/>
      </c>
      <c r="L10" s="31" t="str">
        <f>IF('Comptage Décadaire'!M11&lt;&gt;"",VLOOKUP('Comptage Décadaire'!M11,'Comptage Décadaire'!M:M,1,FALSE),"")</f>
        <v/>
      </c>
      <c r="M10" s="33" t="str">
        <f>IF('Comptage Décadaire'!N11&lt;&gt;"",VLOOKUP('Comptage Décadaire'!N11,Utilisateurs!$D:$F,3,FALSE),"")</f>
        <v/>
      </c>
      <c r="N10" s="33" t="str">
        <f>IF('Comptage Décadaire'!O11&lt;&gt;"",VLOOKUP('Comptage Décadaire'!O11,Utilisateurs!$D:$F,3,FALSE),"")</f>
        <v/>
      </c>
      <c r="O10" s="33" t="str">
        <f>IF('Comptage Décadaire'!P11&lt;&gt;"",VLOOKUP('Comptage Décadaire'!P11,Utilisateurs!$D:$F,3,FALSE),"")</f>
        <v/>
      </c>
      <c r="P10" s="33" t="str">
        <f>IF('Comptage Décadaire'!Q11&lt;&gt;"",VLOOKUP('Comptage Décadaire'!Q11,Utilisateurs!$D:$F,3,FALSE),"")</f>
        <v/>
      </c>
      <c r="Q10" s="33" t="str">
        <f>IF('Comptage Décadaire'!R11&lt;&gt;"",VLOOKUP('Comptage Décadaire'!R11,Utilisateurs!$D:$F,3,FALSE),"")</f>
        <v/>
      </c>
      <c r="R10" s="30" t="str">
        <f>IF('Comptage Décadaire'!S11&lt;&gt;"",VLOOKUP('Comptage Décadaire'!S11,Nomenclature!$N:$O,2,FALSE),"")</f>
        <v/>
      </c>
      <c r="S10" s="30" t="str">
        <f>IF('Comptage Décadaire'!T11&lt;&gt;"",VLOOKUP('Comptage Décadaire'!T11,'Comptage Décadaire'!T:T,1,FALSE),"")</f>
        <v/>
      </c>
      <c r="T10" s="30" t="str">
        <f>IF('Comptage Décadaire'!U11&lt;&gt;"",VLOOKUP('Comptage Décadaire'!U11,'Comptage Décadaire'!U:U,1,FALSE),"")</f>
        <v/>
      </c>
      <c r="U10" s="30" t="str">
        <f>IF('Comptage Décadaire'!V11&lt;&gt;"",VLOOKUP('Comptage Décadaire'!V11,'Comptage Décadaire'!V:V,1,FALSE),"")</f>
        <v/>
      </c>
      <c r="V10" s="30" t="str">
        <f>IF('Comptage Décadaire'!W11&lt;&gt;"",VLOOKUP('Comptage Décadaire'!W11,'Comptage Décadaire'!W:W,1,FALSE),"")</f>
        <v/>
      </c>
      <c r="W10" s="30" t="str">
        <f>IF('Comptage Décadaire'!X11&lt;&gt;"",VLOOKUP('Comptage Décadaire'!X11,'Comptage Décadaire'!X:X,1,FALSE),"")</f>
        <v/>
      </c>
      <c r="X10" s="30" t="str">
        <f>IF('Comptage Décadaire'!Y11&lt;&gt;"",VLOOKUP('Comptage Décadaire'!Y11,'Comptage Décadaire'!Y:Y,1,FALSE),"")</f>
        <v/>
      </c>
      <c r="Y10" s="30" t="str">
        <f>IF('Comptage Décadaire'!Z11&lt;&gt;"",VLOOKUP('Comptage Décadaire'!Z11,Nomenclature!$F$2:$G$7,2,FALSE),"")</f>
        <v/>
      </c>
      <c r="Z10" s="30" t="str">
        <f>IF('Comptage Décadaire'!AA11&lt;&gt;"",VLOOKUP('Comptage Décadaire'!AA11,Nomenclature!$H$2:$I$31,2,FALSE),"")</f>
        <v/>
      </c>
      <c r="AA10" s="30" t="str">
        <f>IF('Comptage Décadaire'!AB11&lt;&gt;"",VLOOKUP('Comptage Décadaire'!AB11,Nomenclature!$J$2:$K$21,2,FALSE),"")</f>
        <v/>
      </c>
      <c r="AB10" s="30" t="str">
        <f>IF('Comptage Décadaire'!AC11&lt;&gt;"",VLOOKUP('Comptage Décadaire'!AC11,'Comptage Décadaire'!AC:AC,1,FALSE),"")</f>
        <v/>
      </c>
      <c r="AC10" s="32" t="str">
        <f>IF('Comptage Décadaire'!AD11&lt;&gt;"",VLOOKUP('Comptage Décadaire'!AD11,Nomenclature!$L$2:$M$8,2,FALSE),"")</f>
        <v/>
      </c>
      <c r="AD10" s="32" t="str">
        <f>IF('Comptage Décadaire'!AE11&lt;&gt;"",VLOOKUP('Comptage Décadaire'!AE11,Utilisateurs!$D$2:$F$81,3,FALSE),"")</f>
        <v/>
      </c>
      <c r="AE10" s="35" t="str">
        <f>IF('Comptage Décadaire'!AF11&lt;&gt;"",VLOOKUP('Comptage Décadaire'!AF11,'Comptage Décadaire'!AF:AF,1,FALSE),"")</f>
        <v/>
      </c>
      <c r="AF10" s="32" t="str">
        <f>IF('Comptage Décadaire'!AG11&lt;&gt;"",VLOOKUP('Comptage Décadaire'!AG11,'Comptage Décadaire'!AG:AG,1,FALSE),"")</f>
        <v/>
      </c>
    </row>
    <row r="11" spans="1:32" x14ac:dyDescent="0.25">
      <c r="A11" s="25" t="str">
        <f>IF('Comptage Décadaire'!A12&lt;&gt;"",VLOOKUP('Comptage Décadaire'!A12,'Comptage Décadaire'!A:A,1,FALSE),"")</f>
        <v/>
      </c>
      <c r="B11" s="27" t="str">
        <f>IF('Comptage Décadaire'!B12&lt;&gt;"",VLOOKUP('Comptage Décadaire'!B12,'Comptage Décadaire'!B:B,1,FALSE),"")</f>
        <v/>
      </c>
      <c r="C11" s="28" t="str">
        <f>IF('Comptage Décadaire'!C12&lt;&gt;"",VLOOKUP('Comptage Décadaire'!C12,'Comptage Décadaire'!C:C,1,FALSE),"")</f>
        <v/>
      </c>
      <c r="D11" s="29" t="str">
        <f>IF('Comptage Décadaire'!D12&lt;&gt;"",VLOOKUP('Comptage Décadaire'!D12,Sites!$A:$B,2,FALSE),"")</f>
        <v/>
      </c>
      <c r="E11" s="29" t="str">
        <f>IF('Comptage Décadaire'!E12&lt;&gt;"",VLOOKUP('Comptage Décadaire'!E12,'Comptage Décadaire'!E:E,1,FALSE),"")</f>
        <v/>
      </c>
      <c r="F11" s="29" t="str">
        <f>IF('Comptage Décadaire'!F12&lt;&gt;"",VLOOKUP('Comptage Décadaire'!F12,Nomenclature!$B$2:$C$4,2,FALSE),"")</f>
        <v/>
      </c>
      <c r="G11" s="29" t="str">
        <f>IF('Comptage Décadaire'!G12&lt;&gt;"",VLOOKUP('Comptage Décadaire'!G12,'Comptage Décadaire'!G:G,1,FALSE),"")</f>
        <v/>
      </c>
      <c r="H11" s="29" t="str">
        <f>IF('Comptage Décadaire'!H12&lt;&gt;"",VLOOKUP('Comptage Décadaire'!H12,Nomenclature!$D$2:$E$7,2,FALSE),"")</f>
        <v/>
      </c>
      <c r="I11" s="30" t="str">
        <f>IF('Comptage Décadaire'!J12&lt;&gt;"",VLOOKUP('Comptage Décadaire'!J12,'Comptage Décadaire'!J:J,1,FALSE),"")</f>
        <v/>
      </c>
      <c r="J11" s="30" t="str">
        <f>IF('Comptage Décadaire'!K12&lt;&gt;"",VLOOKUP('Comptage Décadaire'!K12,'Comptage Décadaire'!K:K,1,FALSE),"")</f>
        <v/>
      </c>
      <c r="K11" s="30" t="str">
        <f>IF('Comptage Décadaire'!L12&lt;&gt;"",VLOOKUP('Comptage Décadaire'!L12,'Comptage Décadaire'!L:L,1,FALSE),"")</f>
        <v/>
      </c>
      <c r="L11" s="31" t="str">
        <f>IF('Comptage Décadaire'!M12&lt;&gt;"",VLOOKUP('Comptage Décadaire'!M12,'Comptage Décadaire'!M:M,1,FALSE),"")</f>
        <v/>
      </c>
      <c r="M11" s="33" t="str">
        <f>IF('Comptage Décadaire'!N12&lt;&gt;"",VLOOKUP('Comptage Décadaire'!N12,Utilisateurs!$D:$F,3,FALSE),"")</f>
        <v/>
      </c>
      <c r="N11" s="33" t="str">
        <f>IF('Comptage Décadaire'!O12&lt;&gt;"",VLOOKUP('Comptage Décadaire'!O12,Utilisateurs!$D:$F,3,FALSE),"")</f>
        <v/>
      </c>
      <c r="O11" s="33" t="str">
        <f>IF('Comptage Décadaire'!P12&lt;&gt;"",VLOOKUP('Comptage Décadaire'!P12,Utilisateurs!$D:$F,3,FALSE),"")</f>
        <v/>
      </c>
      <c r="P11" s="33" t="str">
        <f>IF('Comptage Décadaire'!Q12&lt;&gt;"",VLOOKUP('Comptage Décadaire'!Q12,Utilisateurs!$D:$F,3,FALSE),"")</f>
        <v/>
      </c>
      <c r="Q11" s="33" t="str">
        <f>IF('Comptage Décadaire'!R12&lt;&gt;"",VLOOKUP('Comptage Décadaire'!R12,Utilisateurs!$D:$F,3,FALSE),"")</f>
        <v/>
      </c>
      <c r="R11" s="30" t="str">
        <f>IF('Comptage Décadaire'!S12&lt;&gt;"",VLOOKUP('Comptage Décadaire'!S12,Nomenclature!$N:$O,2,FALSE),"")</f>
        <v/>
      </c>
      <c r="S11" s="30" t="str">
        <f>IF('Comptage Décadaire'!T12&lt;&gt;"",VLOOKUP('Comptage Décadaire'!T12,'Comptage Décadaire'!T:T,1,FALSE),"")</f>
        <v/>
      </c>
      <c r="T11" s="30" t="str">
        <f>IF('Comptage Décadaire'!U12&lt;&gt;"",VLOOKUP('Comptage Décadaire'!U12,'Comptage Décadaire'!U:U,1,FALSE),"")</f>
        <v/>
      </c>
      <c r="U11" s="30" t="str">
        <f>IF('Comptage Décadaire'!V12&lt;&gt;"",VLOOKUP('Comptage Décadaire'!V12,'Comptage Décadaire'!V:V,1,FALSE),"")</f>
        <v/>
      </c>
      <c r="V11" s="30" t="str">
        <f>IF('Comptage Décadaire'!W12&lt;&gt;"",VLOOKUP('Comptage Décadaire'!W12,'Comptage Décadaire'!W:W,1,FALSE),"")</f>
        <v/>
      </c>
      <c r="W11" s="30" t="str">
        <f>IF('Comptage Décadaire'!X12&lt;&gt;"",VLOOKUP('Comptage Décadaire'!X12,'Comptage Décadaire'!X:X,1,FALSE),"")</f>
        <v/>
      </c>
      <c r="X11" s="30" t="str">
        <f>IF('Comptage Décadaire'!Y12&lt;&gt;"",VLOOKUP('Comptage Décadaire'!Y12,'Comptage Décadaire'!Y:Y,1,FALSE),"")</f>
        <v/>
      </c>
      <c r="Y11" s="30" t="str">
        <f>IF('Comptage Décadaire'!Z12&lt;&gt;"",VLOOKUP('Comptage Décadaire'!Z12,Nomenclature!$F$2:$G$7,2,FALSE),"")</f>
        <v/>
      </c>
      <c r="Z11" s="30" t="str">
        <f>IF('Comptage Décadaire'!AA12&lt;&gt;"",VLOOKUP('Comptage Décadaire'!AA12,Nomenclature!$H$2:$I$31,2,FALSE),"")</f>
        <v/>
      </c>
      <c r="AA11" s="30" t="str">
        <f>IF('Comptage Décadaire'!AB12&lt;&gt;"",VLOOKUP('Comptage Décadaire'!AB12,Nomenclature!$J$2:$K$21,2,FALSE),"")</f>
        <v/>
      </c>
      <c r="AB11" s="30" t="str">
        <f>IF('Comptage Décadaire'!AC12&lt;&gt;"",VLOOKUP('Comptage Décadaire'!AC12,'Comptage Décadaire'!AC:AC,1,FALSE),"")</f>
        <v/>
      </c>
      <c r="AC11" s="32" t="str">
        <f>IF('Comptage Décadaire'!AD12&lt;&gt;"",VLOOKUP('Comptage Décadaire'!AD12,Nomenclature!$L$2:$M$8,2,FALSE),"")</f>
        <v/>
      </c>
      <c r="AD11" s="32" t="str">
        <f>IF('Comptage Décadaire'!AE12&lt;&gt;"",VLOOKUP('Comptage Décadaire'!AE12,Utilisateurs!$D$2:$F$81,3,FALSE),"")</f>
        <v/>
      </c>
      <c r="AE11" s="35" t="str">
        <f>IF('Comptage Décadaire'!AF12&lt;&gt;"",VLOOKUP('Comptage Décadaire'!AF12,'Comptage Décadaire'!AF:AF,1,FALSE),"")</f>
        <v/>
      </c>
      <c r="AF11" s="32" t="str">
        <f>IF('Comptage Décadaire'!AG12&lt;&gt;"",VLOOKUP('Comptage Décadaire'!AG12,'Comptage Décadaire'!AG:AG,1,FALSE),"")</f>
        <v/>
      </c>
    </row>
    <row r="12" spans="1:32" x14ac:dyDescent="0.25">
      <c r="A12" s="25" t="str">
        <f>IF('Comptage Décadaire'!A13&lt;&gt;"",VLOOKUP('Comptage Décadaire'!A13,'Comptage Décadaire'!A:A,1,FALSE),"")</f>
        <v/>
      </c>
      <c r="B12" s="27" t="str">
        <f>IF('Comptage Décadaire'!B13&lt;&gt;"",VLOOKUP('Comptage Décadaire'!B13,'Comptage Décadaire'!B:B,1,FALSE),"")</f>
        <v/>
      </c>
      <c r="C12" s="28" t="str">
        <f>IF('Comptage Décadaire'!C13&lt;&gt;"",VLOOKUP('Comptage Décadaire'!C13,'Comptage Décadaire'!C:C,1,FALSE),"")</f>
        <v/>
      </c>
      <c r="D12" s="29" t="str">
        <f>IF('Comptage Décadaire'!D13&lt;&gt;"",VLOOKUP('Comptage Décadaire'!D13,Sites!$A:$B,2,FALSE),"")</f>
        <v/>
      </c>
      <c r="E12" s="29" t="str">
        <f>IF('Comptage Décadaire'!E13&lt;&gt;"",VLOOKUP('Comptage Décadaire'!E13,'Comptage Décadaire'!E:E,1,FALSE),"")</f>
        <v/>
      </c>
      <c r="F12" s="29" t="str">
        <f>IF('Comptage Décadaire'!F13&lt;&gt;"",VLOOKUP('Comptage Décadaire'!F13,Nomenclature!$B$2:$C$4,2,FALSE),"")</f>
        <v/>
      </c>
      <c r="G12" s="29" t="str">
        <f>IF('Comptage Décadaire'!G13&lt;&gt;"",VLOOKUP('Comptage Décadaire'!G13,'Comptage Décadaire'!G:G,1,FALSE),"")</f>
        <v/>
      </c>
      <c r="H12" s="29" t="str">
        <f>IF('Comptage Décadaire'!H13&lt;&gt;"",VLOOKUP('Comptage Décadaire'!H13,Nomenclature!$D$2:$E$7,2,FALSE),"")</f>
        <v/>
      </c>
      <c r="I12" s="30" t="str">
        <f>IF('Comptage Décadaire'!J13&lt;&gt;"",VLOOKUP('Comptage Décadaire'!J13,'Comptage Décadaire'!J:J,1,FALSE),"")</f>
        <v/>
      </c>
      <c r="J12" s="30" t="str">
        <f>IF('Comptage Décadaire'!K13&lt;&gt;"",VLOOKUP('Comptage Décadaire'!K13,'Comptage Décadaire'!K:K,1,FALSE),"")</f>
        <v/>
      </c>
      <c r="K12" s="30" t="str">
        <f>IF('Comptage Décadaire'!L13&lt;&gt;"",VLOOKUP('Comptage Décadaire'!L13,'Comptage Décadaire'!L:L,1,FALSE),"")</f>
        <v/>
      </c>
      <c r="L12" s="31" t="str">
        <f>IF('Comptage Décadaire'!M13&lt;&gt;"",VLOOKUP('Comptage Décadaire'!M13,'Comptage Décadaire'!M:M,1,FALSE),"")</f>
        <v/>
      </c>
      <c r="M12" s="33" t="str">
        <f>IF('Comptage Décadaire'!N13&lt;&gt;"",VLOOKUP('Comptage Décadaire'!N13,Utilisateurs!$D:$F,3,FALSE),"")</f>
        <v/>
      </c>
      <c r="N12" s="33" t="str">
        <f>IF('Comptage Décadaire'!O13&lt;&gt;"",VLOOKUP('Comptage Décadaire'!O13,Utilisateurs!$D:$F,3,FALSE),"")</f>
        <v/>
      </c>
      <c r="O12" s="33" t="str">
        <f>IF('Comptage Décadaire'!P13&lt;&gt;"",VLOOKUP('Comptage Décadaire'!P13,Utilisateurs!$D:$F,3,FALSE),"")</f>
        <v/>
      </c>
      <c r="P12" s="33" t="str">
        <f>IF('Comptage Décadaire'!Q13&lt;&gt;"",VLOOKUP('Comptage Décadaire'!Q13,Utilisateurs!$D:$F,3,FALSE),"")</f>
        <v/>
      </c>
      <c r="Q12" s="33" t="str">
        <f>IF('Comptage Décadaire'!R13&lt;&gt;"",VLOOKUP('Comptage Décadaire'!R13,Utilisateurs!$D:$F,3,FALSE),"")</f>
        <v/>
      </c>
      <c r="R12" s="30" t="str">
        <f>IF('Comptage Décadaire'!S13&lt;&gt;"",VLOOKUP('Comptage Décadaire'!S13,Nomenclature!$N:$O,2,FALSE),"")</f>
        <v/>
      </c>
      <c r="S12" s="30" t="str">
        <f>IF('Comptage Décadaire'!T13&lt;&gt;"",VLOOKUP('Comptage Décadaire'!T13,'Comptage Décadaire'!T:T,1,FALSE),"")</f>
        <v/>
      </c>
      <c r="T12" s="30" t="str">
        <f>IF('Comptage Décadaire'!U13&lt;&gt;"",VLOOKUP('Comptage Décadaire'!U13,'Comptage Décadaire'!U:U,1,FALSE),"")</f>
        <v/>
      </c>
      <c r="U12" s="30" t="str">
        <f>IF('Comptage Décadaire'!V13&lt;&gt;"",VLOOKUP('Comptage Décadaire'!V13,'Comptage Décadaire'!V:V,1,FALSE),"")</f>
        <v/>
      </c>
      <c r="V12" s="30" t="str">
        <f>IF('Comptage Décadaire'!W13&lt;&gt;"",VLOOKUP('Comptage Décadaire'!W13,'Comptage Décadaire'!W:W,1,FALSE),"")</f>
        <v/>
      </c>
      <c r="W12" s="30" t="str">
        <f>IF('Comptage Décadaire'!X13&lt;&gt;"",VLOOKUP('Comptage Décadaire'!X13,'Comptage Décadaire'!X:X,1,FALSE),"")</f>
        <v/>
      </c>
      <c r="X12" s="30" t="str">
        <f>IF('Comptage Décadaire'!Y13&lt;&gt;"",VLOOKUP('Comptage Décadaire'!Y13,'Comptage Décadaire'!Y:Y,1,FALSE),"")</f>
        <v/>
      </c>
      <c r="Y12" s="30" t="str">
        <f>IF('Comptage Décadaire'!Z13&lt;&gt;"",VLOOKUP('Comptage Décadaire'!Z13,Nomenclature!$F$2:$G$7,2,FALSE),"")</f>
        <v/>
      </c>
      <c r="Z12" s="30" t="str">
        <f>IF('Comptage Décadaire'!AA13&lt;&gt;"",VLOOKUP('Comptage Décadaire'!AA13,Nomenclature!$H$2:$I$31,2,FALSE),"")</f>
        <v/>
      </c>
      <c r="AA12" s="30" t="str">
        <f>IF('Comptage Décadaire'!AB13&lt;&gt;"",VLOOKUP('Comptage Décadaire'!AB13,Nomenclature!$J$2:$K$21,2,FALSE),"")</f>
        <v/>
      </c>
      <c r="AB12" s="30" t="str">
        <f>IF('Comptage Décadaire'!AC13&lt;&gt;"",VLOOKUP('Comptage Décadaire'!AC13,'Comptage Décadaire'!AC:AC,1,FALSE),"")</f>
        <v/>
      </c>
      <c r="AC12" s="32" t="str">
        <f>IF('Comptage Décadaire'!AD13&lt;&gt;"",VLOOKUP('Comptage Décadaire'!AD13,Nomenclature!$L$2:$M$8,2,FALSE),"")</f>
        <v/>
      </c>
      <c r="AD12" s="32" t="str">
        <f>IF('Comptage Décadaire'!AE13&lt;&gt;"",VLOOKUP('Comptage Décadaire'!AE13,Utilisateurs!$D$2:$F$81,3,FALSE),"")</f>
        <v/>
      </c>
      <c r="AE12" s="35" t="str">
        <f>IF('Comptage Décadaire'!AF13&lt;&gt;"",VLOOKUP('Comptage Décadaire'!AF13,'Comptage Décadaire'!AF:AF,1,FALSE),"")</f>
        <v/>
      </c>
      <c r="AF12" s="32" t="str">
        <f>IF('Comptage Décadaire'!AG13&lt;&gt;"",VLOOKUP('Comptage Décadaire'!AG13,'Comptage Décadaire'!AG:AG,1,FALSE),"")</f>
        <v/>
      </c>
    </row>
    <row r="13" spans="1:32" x14ac:dyDescent="0.25">
      <c r="A13" s="25" t="str">
        <f>IF('Comptage Décadaire'!A14&lt;&gt;"",VLOOKUP('Comptage Décadaire'!A14,'Comptage Décadaire'!A:A,1,FALSE),"")</f>
        <v/>
      </c>
      <c r="B13" s="27" t="str">
        <f>IF('Comptage Décadaire'!B14&lt;&gt;"",VLOOKUP('Comptage Décadaire'!B14,'Comptage Décadaire'!B:B,1,FALSE),"")</f>
        <v/>
      </c>
      <c r="C13" s="28" t="str">
        <f>IF('Comptage Décadaire'!C14&lt;&gt;"",VLOOKUP('Comptage Décadaire'!C14,'Comptage Décadaire'!C:C,1,FALSE),"")</f>
        <v/>
      </c>
      <c r="D13" s="29" t="str">
        <f>IF('Comptage Décadaire'!D14&lt;&gt;"",VLOOKUP('Comptage Décadaire'!D14,Sites!$A:$B,2,FALSE),"")</f>
        <v/>
      </c>
      <c r="E13" s="29" t="str">
        <f>IF('Comptage Décadaire'!E14&lt;&gt;"",VLOOKUP('Comptage Décadaire'!E14,'Comptage Décadaire'!E:E,1,FALSE),"")</f>
        <v/>
      </c>
      <c r="F13" s="29" t="str">
        <f>IF('Comptage Décadaire'!F14&lt;&gt;"",VLOOKUP('Comptage Décadaire'!F14,Nomenclature!$B$2:$C$4,2,FALSE),"")</f>
        <v/>
      </c>
      <c r="G13" s="29" t="str">
        <f>IF('Comptage Décadaire'!G14&lt;&gt;"",VLOOKUP('Comptage Décadaire'!G14,'Comptage Décadaire'!G:G,1,FALSE),"")</f>
        <v/>
      </c>
      <c r="H13" s="29" t="str">
        <f>IF('Comptage Décadaire'!H14&lt;&gt;"",VLOOKUP('Comptage Décadaire'!H14,Nomenclature!$D$2:$E$7,2,FALSE),"")</f>
        <v/>
      </c>
      <c r="I13" s="30" t="str">
        <f>IF('Comptage Décadaire'!J14&lt;&gt;"",VLOOKUP('Comptage Décadaire'!J14,'Comptage Décadaire'!J:J,1,FALSE),"")</f>
        <v/>
      </c>
      <c r="J13" s="30" t="str">
        <f>IF('Comptage Décadaire'!K14&lt;&gt;"",VLOOKUP('Comptage Décadaire'!K14,'Comptage Décadaire'!K:K,1,FALSE),"")</f>
        <v/>
      </c>
      <c r="K13" s="30" t="str">
        <f>IF('Comptage Décadaire'!L14&lt;&gt;"",VLOOKUP('Comptage Décadaire'!L14,'Comptage Décadaire'!L:L,1,FALSE),"")</f>
        <v/>
      </c>
      <c r="L13" s="31" t="str">
        <f>IF('Comptage Décadaire'!M14&lt;&gt;"",VLOOKUP('Comptage Décadaire'!M14,'Comptage Décadaire'!M:M,1,FALSE),"")</f>
        <v/>
      </c>
      <c r="M13" s="33" t="str">
        <f>IF('Comptage Décadaire'!N14&lt;&gt;"",VLOOKUP('Comptage Décadaire'!N14,Utilisateurs!$D:$F,3,FALSE),"")</f>
        <v/>
      </c>
      <c r="N13" s="33" t="str">
        <f>IF('Comptage Décadaire'!O14&lt;&gt;"",VLOOKUP('Comptage Décadaire'!O14,Utilisateurs!$D:$F,3,FALSE),"")</f>
        <v/>
      </c>
      <c r="O13" s="33" t="str">
        <f>IF('Comptage Décadaire'!P14&lt;&gt;"",VLOOKUP('Comptage Décadaire'!P14,Utilisateurs!$D:$F,3,FALSE),"")</f>
        <v/>
      </c>
      <c r="P13" s="33" t="str">
        <f>IF('Comptage Décadaire'!Q14&lt;&gt;"",VLOOKUP('Comptage Décadaire'!Q14,Utilisateurs!$D:$F,3,FALSE),"")</f>
        <v/>
      </c>
      <c r="Q13" s="33" t="str">
        <f>IF('Comptage Décadaire'!R14&lt;&gt;"",VLOOKUP('Comptage Décadaire'!R14,Utilisateurs!$D:$F,3,FALSE),"")</f>
        <v/>
      </c>
      <c r="R13" s="30" t="str">
        <f>IF('Comptage Décadaire'!S14&lt;&gt;"",VLOOKUP('Comptage Décadaire'!S14,Nomenclature!$N:$O,2,FALSE),"")</f>
        <v/>
      </c>
      <c r="S13" s="30" t="str">
        <f>IF('Comptage Décadaire'!T14&lt;&gt;"",VLOOKUP('Comptage Décadaire'!T14,'Comptage Décadaire'!T:T,1,FALSE),"")</f>
        <v/>
      </c>
      <c r="T13" s="30" t="str">
        <f>IF('Comptage Décadaire'!U14&lt;&gt;"",VLOOKUP('Comptage Décadaire'!U14,'Comptage Décadaire'!U:U,1,FALSE),"")</f>
        <v/>
      </c>
      <c r="U13" s="30" t="str">
        <f>IF('Comptage Décadaire'!V14&lt;&gt;"",VLOOKUP('Comptage Décadaire'!V14,'Comptage Décadaire'!V:V,1,FALSE),"")</f>
        <v/>
      </c>
      <c r="V13" s="30" t="str">
        <f>IF('Comptage Décadaire'!W14&lt;&gt;"",VLOOKUP('Comptage Décadaire'!W14,'Comptage Décadaire'!W:W,1,FALSE),"")</f>
        <v/>
      </c>
      <c r="W13" s="30" t="str">
        <f>IF('Comptage Décadaire'!X14&lt;&gt;"",VLOOKUP('Comptage Décadaire'!X14,'Comptage Décadaire'!X:X,1,FALSE),"")</f>
        <v/>
      </c>
      <c r="X13" s="30" t="str">
        <f>IF('Comptage Décadaire'!Y14&lt;&gt;"",VLOOKUP('Comptage Décadaire'!Y14,'Comptage Décadaire'!Y:Y,1,FALSE),"")</f>
        <v/>
      </c>
      <c r="Y13" s="30" t="str">
        <f>IF('Comptage Décadaire'!Z14&lt;&gt;"",VLOOKUP('Comptage Décadaire'!Z14,Nomenclature!$F$2:$G$7,2,FALSE),"")</f>
        <v/>
      </c>
      <c r="Z13" s="30" t="str">
        <f>IF('Comptage Décadaire'!AA14&lt;&gt;"",VLOOKUP('Comptage Décadaire'!AA14,Nomenclature!$H$2:$I$31,2,FALSE),"")</f>
        <v/>
      </c>
      <c r="AA13" s="30" t="str">
        <f>IF('Comptage Décadaire'!AB14&lt;&gt;"",VLOOKUP('Comptage Décadaire'!AB14,Nomenclature!$J$2:$K$21,2,FALSE),"")</f>
        <v/>
      </c>
      <c r="AB13" s="30" t="str">
        <f>IF('Comptage Décadaire'!AC14&lt;&gt;"",VLOOKUP('Comptage Décadaire'!AC14,'Comptage Décadaire'!AC:AC,1,FALSE),"")</f>
        <v/>
      </c>
      <c r="AC13" s="32" t="str">
        <f>IF('Comptage Décadaire'!AD14&lt;&gt;"",VLOOKUP('Comptage Décadaire'!AD14,Nomenclature!$L$2:$M$8,2,FALSE),"")</f>
        <v/>
      </c>
      <c r="AD13" s="32" t="str">
        <f>IF('Comptage Décadaire'!AE14&lt;&gt;"",VLOOKUP('Comptage Décadaire'!AE14,Utilisateurs!$D$2:$F$81,3,FALSE),"")</f>
        <v/>
      </c>
      <c r="AE13" s="35" t="str">
        <f>IF('Comptage Décadaire'!AF14&lt;&gt;"",VLOOKUP('Comptage Décadaire'!AF14,'Comptage Décadaire'!AF:AF,1,FALSE),"")</f>
        <v/>
      </c>
      <c r="AF13" s="32" t="str">
        <f>IF('Comptage Décadaire'!AG14&lt;&gt;"",VLOOKUP('Comptage Décadaire'!AG14,'Comptage Décadaire'!AG:AG,1,FALSE),"")</f>
        <v/>
      </c>
    </row>
    <row r="14" spans="1:32" x14ac:dyDescent="0.25">
      <c r="A14" s="25" t="str">
        <f>IF('Comptage Décadaire'!A15&lt;&gt;"",VLOOKUP('Comptage Décadaire'!A15,'Comptage Décadaire'!A:A,1,FALSE),"")</f>
        <v/>
      </c>
      <c r="B14" s="27" t="str">
        <f>IF('Comptage Décadaire'!B15&lt;&gt;"",VLOOKUP('Comptage Décadaire'!B15,'Comptage Décadaire'!B:B,1,FALSE),"")</f>
        <v/>
      </c>
      <c r="C14" s="28" t="str">
        <f>IF('Comptage Décadaire'!C15&lt;&gt;"",VLOOKUP('Comptage Décadaire'!C15,'Comptage Décadaire'!C:C,1,FALSE),"")</f>
        <v/>
      </c>
      <c r="D14" s="29" t="str">
        <f>IF('Comptage Décadaire'!D15&lt;&gt;"",VLOOKUP('Comptage Décadaire'!D15,Sites!$A:$B,2,FALSE),"")</f>
        <v/>
      </c>
      <c r="E14" s="29" t="str">
        <f>IF('Comptage Décadaire'!E15&lt;&gt;"",VLOOKUP('Comptage Décadaire'!E15,'Comptage Décadaire'!E:E,1,FALSE),"")</f>
        <v/>
      </c>
      <c r="F14" s="29" t="str">
        <f>IF('Comptage Décadaire'!F15&lt;&gt;"",VLOOKUP('Comptage Décadaire'!F15,Nomenclature!$B$2:$C$4,2,FALSE),"")</f>
        <v/>
      </c>
      <c r="G14" s="29" t="str">
        <f>IF('Comptage Décadaire'!G15&lt;&gt;"",VLOOKUP('Comptage Décadaire'!G15,'Comptage Décadaire'!G:G,1,FALSE),"")</f>
        <v/>
      </c>
      <c r="H14" s="29" t="str">
        <f>IF('Comptage Décadaire'!H15&lt;&gt;"",VLOOKUP('Comptage Décadaire'!H15,Nomenclature!$D$2:$E$7,2,FALSE),"")</f>
        <v/>
      </c>
      <c r="I14" s="30" t="str">
        <f>IF('Comptage Décadaire'!J15&lt;&gt;"",VLOOKUP('Comptage Décadaire'!J15,'Comptage Décadaire'!J:J,1,FALSE),"")</f>
        <v/>
      </c>
      <c r="J14" s="30" t="str">
        <f>IF('Comptage Décadaire'!K15&lt;&gt;"",VLOOKUP('Comptage Décadaire'!K15,'Comptage Décadaire'!K:K,1,FALSE),"")</f>
        <v/>
      </c>
      <c r="K14" s="30" t="str">
        <f>IF('Comptage Décadaire'!L15&lt;&gt;"",VLOOKUP('Comptage Décadaire'!L15,'Comptage Décadaire'!L:L,1,FALSE),"")</f>
        <v/>
      </c>
      <c r="L14" s="31" t="str">
        <f>IF('Comptage Décadaire'!M15&lt;&gt;"",VLOOKUP('Comptage Décadaire'!M15,'Comptage Décadaire'!M:M,1,FALSE),"")</f>
        <v/>
      </c>
      <c r="M14" s="33" t="str">
        <f>IF('Comptage Décadaire'!N15&lt;&gt;"",VLOOKUP('Comptage Décadaire'!N15,Utilisateurs!$D:$F,3,FALSE),"")</f>
        <v/>
      </c>
      <c r="N14" s="33" t="str">
        <f>IF('Comptage Décadaire'!O15&lt;&gt;"",VLOOKUP('Comptage Décadaire'!O15,Utilisateurs!$D:$F,3,FALSE),"")</f>
        <v/>
      </c>
      <c r="O14" s="33" t="str">
        <f>IF('Comptage Décadaire'!P15&lt;&gt;"",VLOOKUP('Comptage Décadaire'!P15,Utilisateurs!$D:$F,3,FALSE),"")</f>
        <v/>
      </c>
      <c r="P14" s="33" t="str">
        <f>IF('Comptage Décadaire'!Q15&lt;&gt;"",VLOOKUP('Comptage Décadaire'!Q15,Utilisateurs!$D:$F,3,FALSE),"")</f>
        <v/>
      </c>
      <c r="Q14" s="33" t="str">
        <f>IF('Comptage Décadaire'!R15&lt;&gt;"",VLOOKUP('Comptage Décadaire'!R15,Utilisateurs!$D:$F,3,FALSE),"")</f>
        <v/>
      </c>
      <c r="R14" s="30" t="str">
        <f>IF('Comptage Décadaire'!S15&lt;&gt;"",VLOOKUP('Comptage Décadaire'!S15,Nomenclature!$N:$O,2,FALSE),"")</f>
        <v/>
      </c>
      <c r="S14" s="30" t="str">
        <f>IF('Comptage Décadaire'!T15&lt;&gt;"",VLOOKUP('Comptage Décadaire'!T15,'Comptage Décadaire'!T:T,1,FALSE),"")</f>
        <v/>
      </c>
      <c r="T14" s="30" t="str">
        <f>IF('Comptage Décadaire'!U15&lt;&gt;"",VLOOKUP('Comptage Décadaire'!U15,'Comptage Décadaire'!U:U,1,FALSE),"")</f>
        <v/>
      </c>
      <c r="U14" s="30" t="str">
        <f>IF('Comptage Décadaire'!V15&lt;&gt;"",VLOOKUP('Comptage Décadaire'!V15,'Comptage Décadaire'!V:V,1,FALSE),"")</f>
        <v/>
      </c>
      <c r="V14" s="30" t="str">
        <f>IF('Comptage Décadaire'!W15&lt;&gt;"",VLOOKUP('Comptage Décadaire'!W15,'Comptage Décadaire'!W:W,1,FALSE),"")</f>
        <v/>
      </c>
      <c r="W14" s="30" t="str">
        <f>IF('Comptage Décadaire'!X15&lt;&gt;"",VLOOKUP('Comptage Décadaire'!X15,'Comptage Décadaire'!X:X,1,FALSE),"")</f>
        <v/>
      </c>
      <c r="X14" s="30" t="str">
        <f>IF('Comptage Décadaire'!Y15&lt;&gt;"",VLOOKUP('Comptage Décadaire'!Y15,'Comptage Décadaire'!Y:Y,1,FALSE),"")</f>
        <v/>
      </c>
      <c r="Y14" s="30" t="str">
        <f>IF('Comptage Décadaire'!Z15&lt;&gt;"",VLOOKUP('Comptage Décadaire'!Z15,Nomenclature!$F$2:$G$7,2,FALSE),"")</f>
        <v/>
      </c>
      <c r="Z14" s="30" t="str">
        <f>IF('Comptage Décadaire'!AA15&lt;&gt;"",VLOOKUP('Comptage Décadaire'!AA15,Nomenclature!$H$2:$I$31,2,FALSE),"")</f>
        <v/>
      </c>
      <c r="AA14" s="30" t="str">
        <f>IF('Comptage Décadaire'!AB15&lt;&gt;"",VLOOKUP('Comptage Décadaire'!AB15,Nomenclature!$J$2:$K$21,2,FALSE),"")</f>
        <v/>
      </c>
      <c r="AB14" s="30" t="str">
        <f>IF('Comptage Décadaire'!AC15&lt;&gt;"",VLOOKUP('Comptage Décadaire'!AC15,'Comptage Décadaire'!AC:AC,1,FALSE),"")</f>
        <v/>
      </c>
      <c r="AC14" s="32" t="str">
        <f>IF('Comptage Décadaire'!AD15&lt;&gt;"",VLOOKUP('Comptage Décadaire'!AD15,Nomenclature!$L$2:$M$8,2,FALSE),"")</f>
        <v/>
      </c>
      <c r="AD14" s="32" t="str">
        <f>IF('Comptage Décadaire'!AE15&lt;&gt;"",VLOOKUP('Comptage Décadaire'!AE15,Utilisateurs!$D$2:$F$81,3,FALSE),"")</f>
        <v/>
      </c>
      <c r="AE14" s="35" t="str">
        <f>IF('Comptage Décadaire'!AF15&lt;&gt;"",VLOOKUP('Comptage Décadaire'!AF15,'Comptage Décadaire'!AF:AF,1,FALSE),"")</f>
        <v/>
      </c>
      <c r="AF14" s="32" t="str">
        <f>IF('Comptage Décadaire'!AG15&lt;&gt;"",VLOOKUP('Comptage Décadaire'!AG15,'Comptage Décadaire'!AG:AG,1,FALSE),"")</f>
        <v/>
      </c>
    </row>
    <row r="15" spans="1:32" x14ac:dyDescent="0.25">
      <c r="A15" s="25" t="str">
        <f>IF('Comptage Décadaire'!A16&lt;&gt;"",VLOOKUP('Comptage Décadaire'!A16,'Comptage Décadaire'!A:A,1,FALSE),"")</f>
        <v/>
      </c>
      <c r="B15" s="27" t="str">
        <f>IF('Comptage Décadaire'!B16&lt;&gt;"",VLOOKUP('Comptage Décadaire'!B16,'Comptage Décadaire'!B:B,1,FALSE),"")</f>
        <v/>
      </c>
      <c r="C15" s="28" t="str">
        <f>IF('Comptage Décadaire'!C16&lt;&gt;"",VLOOKUP('Comptage Décadaire'!C16,'Comptage Décadaire'!C:C,1,FALSE),"")</f>
        <v/>
      </c>
      <c r="D15" s="29" t="str">
        <f>IF('Comptage Décadaire'!D16&lt;&gt;"",VLOOKUP('Comptage Décadaire'!D16,Sites!$A:$B,2,FALSE),"")</f>
        <v/>
      </c>
      <c r="E15" s="29" t="str">
        <f>IF('Comptage Décadaire'!E16&lt;&gt;"",VLOOKUP('Comptage Décadaire'!E16,'Comptage Décadaire'!E:E,1,FALSE),"")</f>
        <v/>
      </c>
      <c r="F15" s="29" t="str">
        <f>IF('Comptage Décadaire'!F16&lt;&gt;"",VLOOKUP('Comptage Décadaire'!F16,Nomenclature!$B$2:$C$4,2,FALSE),"")</f>
        <v/>
      </c>
      <c r="G15" s="29" t="str">
        <f>IF('Comptage Décadaire'!G16&lt;&gt;"",VLOOKUP('Comptage Décadaire'!G16,'Comptage Décadaire'!G:G,1,FALSE),"")</f>
        <v/>
      </c>
      <c r="H15" s="29" t="str">
        <f>IF('Comptage Décadaire'!H16&lt;&gt;"",VLOOKUP('Comptage Décadaire'!H16,Nomenclature!$D$2:$E$7,2,FALSE),"")</f>
        <v/>
      </c>
      <c r="I15" s="30" t="str">
        <f>IF('Comptage Décadaire'!J16&lt;&gt;"",VLOOKUP('Comptage Décadaire'!J16,'Comptage Décadaire'!J:J,1,FALSE),"")</f>
        <v/>
      </c>
      <c r="J15" s="30" t="str">
        <f>IF('Comptage Décadaire'!K16&lt;&gt;"",VLOOKUP('Comptage Décadaire'!K16,'Comptage Décadaire'!K:K,1,FALSE),"")</f>
        <v/>
      </c>
      <c r="K15" s="30" t="str">
        <f>IF('Comptage Décadaire'!L16&lt;&gt;"",VLOOKUP('Comptage Décadaire'!L16,'Comptage Décadaire'!L:L,1,FALSE),"")</f>
        <v/>
      </c>
      <c r="L15" s="31" t="str">
        <f>IF('Comptage Décadaire'!M16&lt;&gt;"",VLOOKUP('Comptage Décadaire'!M16,'Comptage Décadaire'!M:M,1,FALSE),"")</f>
        <v/>
      </c>
      <c r="M15" s="33" t="str">
        <f>IF('Comptage Décadaire'!N16&lt;&gt;"",VLOOKUP('Comptage Décadaire'!N16,Utilisateurs!$D:$F,3,FALSE),"")</f>
        <v/>
      </c>
      <c r="N15" s="33" t="str">
        <f>IF('Comptage Décadaire'!O16&lt;&gt;"",VLOOKUP('Comptage Décadaire'!O16,Utilisateurs!$D:$F,3,FALSE),"")</f>
        <v/>
      </c>
      <c r="O15" s="33" t="str">
        <f>IF('Comptage Décadaire'!P16&lt;&gt;"",VLOOKUP('Comptage Décadaire'!P16,Utilisateurs!$D:$F,3,FALSE),"")</f>
        <v/>
      </c>
      <c r="P15" s="33" t="str">
        <f>IF('Comptage Décadaire'!Q16&lt;&gt;"",VLOOKUP('Comptage Décadaire'!Q16,Utilisateurs!$D:$F,3,FALSE),"")</f>
        <v/>
      </c>
      <c r="Q15" s="33" t="str">
        <f>IF('Comptage Décadaire'!R16&lt;&gt;"",VLOOKUP('Comptage Décadaire'!R16,Utilisateurs!$D:$F,3,FALSE),"")</f>
        <v/>
      </c>
      <c r="R15" s="30" t="str">
        <f>IF('Comptage Décadaire'!S16&lt;&gt;"",VLOOKUP('Comptage Décadaire'!S16,Nomenclature!$N:$O,2,FALSE),"")</f>
        <v/>
      </c>
      <c r="S15" s="30" t="str">
        <f>IF('Comptage Décadaire'!T16&lt;&gt;"",VLOOKUP('Comptage Décadaire'!T16,'Comptage Décadaire'!T:T,1,FALSE),"")</f>
        <v/>
      </c>
      <c r="T15" s="30" t="str">
        <f>IF('Comptage Décadaire'!U16&lt;&gt;"",VLOOKUP('Comptage Décadaire'!U16,'Comptage Décadaire'!U:U,1,FALSE),"")</f>
        <v/>
      </c>
      <c r="U15" s="30" t="str">
        <f>IF('Comptage Décadaire'!V16&lt;&gt;"",VLOOKUP('Comptage Décadaire'!V16,'Comptage Décadaire'!V:V,1,FALSE),"")</f>
        <v/>
      </c>
      <c r="V15" s="30" t="str">
        <f>IF('Comptage Décadaire'!W16&lt;&gt;"",VLOOKUP('Comptage Décadaire'!W16,'Comptage Décadaire'!W:W,1,FALSE),"")</f>
        <v/>
      </c>
      <c r="W15" s="30" t="str">
        <f>IF('Comptage Décadaire'!X16&lt;&gt;"",VLOOKUP('Comptage Décadaire'!X16,'Comptage Décadaire'!X:X,1,FALSE),"")</f>
        <v/>
      </c>
      <c r="X15" s="30" t="str">
        <f>IF('Comptage Décadaire'!Y16&lt;&gt;"",VLOOKUP('Comptage Décadaire'!Y16,'Comptage Décadaire'!Y:Y,1,FALSE),"")</f>
        <v/>
      </c>
      <c r="Y15" s="30" t="str">
        <f>IF('Comptage Décadaire'!Z16&lt;&gt;"",VLOOKUP('Comptage Décadaire'!Z16,Nomenclature!$F$2:$G$7,2,FALSE),"")</f>
        <v/>
      </c>
      <c r="Z15" s="30" t="str">
        <f>IF('Comptage Décadaire'!AA16&lt;&gt;"",VLOOKUP('Comptage Décadaire'!AA16,Nomenclature!$H$2:$I$31,2,FALSE),"")</f>
        <v/>
      </c>
      <c r="AA15" s="30" t="str">
        <f>IF('Comptage Décadaire'!AB16&lt;&gt;"",VLOOKUP('Comptage Décadaire'!AB16,Nomenclature!$J$2:$K$21,2,FALSE),"")</f>
        <v/>
      </c>
      <c r="AB15" s="30" t="str">
        <f>IF('Comptage Décadaire'!AC16&lt;&gt;"",VLOOKUP('Comptage Décadaire'!AC16,'Comptage Décadaire'!AC:AC,1,FALSE),"")</f>
        <v/>
      </c>
      <c r="AC15" s="32" t="str">
        <f>IF('Comptage Décadaire'!AD16&lt;&gt;"",VLOOKUP('Comptage Décadaire'!AD16,Nomenclature!$L$2:$M$8,2,FALSE),"")</f>
        <v/>
      </c>
      <c r="AD15" s="32" t="str">
        <f>IF('Comptage Décadaire'!AE16&lt;&gt;"",VLOOKUP('Comptage Décadaire'!AE16,Utilisateurs!$D$2:$F$81,3,FALSE),"")</f>
        <v/>
      </c>
      <c r="AE15" s="35" t="str">
        <f>IF('Comptage Décadaire'!AF16&lt;&gt;"",VLOOKUP('Comptage Décadaire'!AF16,'Comptage Décadaire'!AF:AF,1,FALSE),"")</f>
        <v/>
      </c>
      <c r="AF15" s="32" t="str">
        <f>IF('Comptage Décadaire'!AG16&lt;&gt;"",VLOOKUP('Comptage Décadaire'!AG16,'Comptage Décadaire'!AG:AG,1,FALSE),"")</f>
        <v/>
      </c>
    </row>
    <row r="16" spans="1:32" x14ac:dyDescent="0.25">
      <c r="A16" s="25" t="str">
        <f>IF('Comptage Décadaire'!A17&lt;&gt;"",VLOOKUP('Comptage Décadaire'!A17,'Comptage Décadaire'!A:A,1,FALSE),"")</f>
        <v/>
      </c>
      <c r="B16" s="27" t="str">
        <f>IF('Comptage Décadaire'!B17&lt;&gt;"",VLOOKUP('Comptage Décadaire'!B17,'Comptage Décadaire'!B:B,1,FALSE),"")</f>
        <v/>
      </c>
      <c r="C16" s="28" t="str">
        <f>IF('Comptage Décadaire'!C17&lt;&gt;"",VLOOKUP('Comptage Décadaire'!C17,'Comptage Décadaire'!C:C,1,FALSE),"")</f>
        <v/>
      </c>
      <c r="D16" s="29" t="str">
        <f>IF('Comptage Décadaire'!D17&lt;&gt;"",VLOOKUP('Comptage Décadaire'!D17,Sites!$A:$B,2,FALSE),"")</f>
        <v/>
      </c>
      <c r="E16" s="29" t="str">
        <f>IF('Comptage Décadaire'!E17&lt;&gt;"",VLOOKUP('Comptage Décadaire'!E17,'Comptage Décadaire'!E:E,1,FALSE),"")</f>
        <v/>
      </c>
      <c r="F16" s="29" t="str">
        <f>IF('Comptage Décadaire'!F17&lt;&gt;"",VLOOKUP('Comptage Décadaire'!F17,Nomenclature!$B$2:$C$4,2,FALSE),"")</f>
        <v/>
      </c>
      <c r="G16" s="29" t="str">
        <f>IF('Comptage Décadaire'!G17&lt;&gt;"",VLOOKUP('Comptage Décadaire'!G17,'Comptage Décadaire'!G:G,1,FALSE),"")</f>
        <v/>
      </c>
      <c r="H16" s="29" t="str">
        <f>IF('Comptage Décadaire'!H17&lt;&gt;"",VLOOKUP('Comptage Décadaire'!H17,Nomenclature!$D$2:$E$7,2,FALSE),"")</f>
        <v/>
      </c>
      <c r="I16" s="30" t="str">
        <f>IF('Comptage Décadaire'!J17&lt;&gt;"",VLOOKUP('Comptage Décadaire'!J17,'Comptage Décadaire'!J:J,1,FALSE),"")</f>
        <v/>
      </c>
      <c r="J16" s="30" t="str">
        <f>IF('Comptage Décadaire'!K17&lt;&gt;"",VLOOKUP('Comptage Décadaire'!K17,'Comptage Décadaire'!K:K,1,FALSE),"")</f>
        <v/>
      </c>
      <c r="K16" s="30" t="str">
        <f>IF('Comptage Décadaire'!L17&lt;&gt;"",VLOOKUP('Comptage Décadaire'!L17,'Comptage Décadaire'!L:L,1,FALSE),"")</f>
        <v/>
      </c>
      <c r="L16" s="31" t="str">
        <f>IF('Comptage Décadaire'!M17&lt;&gt;"",VLOOKUP('Comptage Décadaire'!M17,'Comptage Décadaire'!M:M,1,FALSE),"")</f>
        <v/>
      </c>
      <c r="M16" s="33" t="str">
        <f>IF('Comptage Décadaire'!N17&lt;&gt;"",VLOOKUP('Comptage Décadaire'!N17,Utilisateurs!$D:$F,3,FALSE),"")</f>
        <v/>
      </c>
      <c r="N16" s="33" t="str">
        <f>IF('Comptage Décadaire'!O17&lt;&gt;"",VLOOKUP('Comptage Décadaire'!O17,Utilisateurs!$D:$F,3,FALSE),"")</f>
        <v/>
      </c>
      <c r="O16" s="33" t="str">
        <f>IF('Comptage Décadaire'!P17&lt;&gt;"",VLOOKUP('Comptage Décadaire'!P17,Utilisateurs!$D:$F,3,FALSE),"")</f>
        <v/>
      </c>
      <c r="P16" s="33" t="str">
        <f>IF('Comptage Décadaire'!Q17&lt;&gt;"",VLOOKUP('Comptage Décadaire'!Q17,Utilisateurs!$D:$F,3,FALSE),"")</f>
        <v/>
      </c>
      <c r="Q16" s="33" t="str">
        <f>IF('Comptage Décadaire'!R17&lt;&gt;"",VLOOKUP('Comptage Décadaire'!R17,Utilisateurs!$D:$F,3,FALSE),"")</f>
        <v/>
      </c>
      <c r="R16" s="30" t="str">
        <f>IF('Comptage Décadaire'!S17&lt;&gt;"",VLOOKUP('Comptage Décadaire'!S17,Nomenclature!$N:$O,2,FALSE),"")</f>
        <v/>
      </c>
      <c r="S16" s="30" t="str">
        <f>IF('Comptage Décadaire'!T17&lt;&gt;"",VLOOKUP('Comptage Décadaire'!T17,'Comptage Décadaire'!T:T,1,FALSE),"")</f>
        <v/>
      </c>
      <c r="T16" s="30" t="str">
        <f>IF('Comptage Décadaire'!U17&lt;&gt;"",VLOOKUP('Comptage Décadaire'!U17,'Comptage Décadaire'!U:U,1,FALSE),"")</f>
        <v/>
      </c>
      <c r="U16" s="30" t="str">
        <f>IF('Comptage Décadaire'!V17&lt;&gt;"",VLOOKUP('Comptage Décadaire'!V17,'Comptage Décadaire'!V:V,1,FALSE),"")</f>
        <v/>
      </c>
      <c r="V16" s="30" t="str">
        <f>IF('Comptage Décadaire'!W17&lt;&gt;"",VLOOKUP('Comptage Décadaire'!W17,'Comptage Décadaire'!W:W,1,FALSE),"")</f>
        <v/>
      </c>
      <c r="W16" s="30" t="str">
        <f>IF('Comptage Décadaire'!X17&lt;&gt;"",VLOOKUP('Comptage Décadaire'!X17,'Comptage Décadaire'!X:X,1,FALSE),"")</f>
        <v/>
      </c>
      <c r="X16" s="30" t="str">
        <f>IF('Comptage Décadaire'!Y17&lt;&gt;"",VLOOKUP('Comptage Décadaire'!Y17,'Comptage Décadaire'!Y:Y,1,FALSE),"")</f>
        <v/>
      </c>
      <c r="Y16" s="30" t="str">
        <f>IF('Comptage Décadaire'!Z17&lt;&gt;"",VLOOKUP('Comptage Décadaire'!Z17,Nomenclature!$F$2:$G$7,2,FALSE),"")</f>
        <v/>
      </c>
      <c r="Z16" s="30" t="str">
        <f>IF('Comptage Décadaire'!AA17&lt;&gt;"",VLOOKUP('Comptage Décadaire'!AA17,Nomenclature!$H$2:$I$31,2,FALSE),"")</f>
        <v/>
      </c>
      <c r="AA16" s="30" t="str">
        <f>IF('Comptage Décadaire'!AB17&lt;&gt;"",VLOOKUP('Comptage Décadaire'!AB17,Nomenclature!$J$2:$K$21,2,FALSE),"")</f>
        <v/>
      </c>
      <c r="AB16" s="30" t="str">
        <f>IF('Comptage Décadaire'!AC17&lt;&gt;"",VLOOKUP('Comptage Décadaire'!AC17,'Comptage Décadaire'!AC:AC,1,FALSE),"")</f>
        <v/>
      </c>
      <c r="AC16" s="32" t="str">
        <f>IF('Comptage Décadaire'!AD17&lt;&gt;"",VLOOKUP('Comptage Décadaire'!AD17,Nomenclature!$L$2:$M$8,2,FALSE),"")</f>
        <v/>
      </c>
      <c r="AD16" s="32" t="str">
        <f>IF('Comptage Décadaire'!AE17&lt;&gt;"",VLOOKUP('Comptage Décadaire'!AE17,Utilisateurs!$D$2:$F$81,3,FALSE),"")</f>
        <v/>
      </c>
      <c r="AE16" s="35" t="str">
        <f>IF('Comptage Décadaire'!AF17&lt;&gt;"",VLOOKUP('Comptage Décadaire'!AF17,'Comptage Décadaire'!AF:AF,1,FALSE),"")</f>
        <v/>
      </c>
      <c r="AF16" s="32" t="str">
        <f>IF('Comptage Décadaire'!AG17&lt;&gt;"",VLOOKUP('Comptage Décadaire'!AG17,'Comptage Décadaire'!AG:AG,1,FALSE),"")</f>
        <v/>
      </c>
    </row>
    <row r="17" spans="1:32" x14ac:dyDescent="0.25">
      <c r="A17" s="25" t="str">
        <f>IF('Comptage Décadaire'!A18&lt;&gt;"",VLOOKUP('Comptage Décadaire'!A18,'Comptage Décadaire'!A:A,1,FALSE),"")</f>
        <v/>
      </c>
      <c r="B17" s="27" t="str">
        <f>IF('Comptage Décadaire'!B18&lt;&gt;"",VLOOKUP('Comptage Décadaire'!B18,'Comptage Décadaire'!B:B,1,FALSE),"")</f>
        <v/>
      </c>
      <c r="C17" s="28" t="str">
        <f>IF('Comptage Décadaire'!C18&lt;&gt;"",VLOOKUP('Comptage Décadaire'!C18,'Comptage Décadaire'!C:C,1,FALSE),"")</f>
        <v/>
      </c>
      <c r="D17" s="29" t="str">
        <f>IF('Comptage Décadaire'!D18&lt;&gt;"",VLOOKUP('Comptage Décadaire'!D18,Sites!$A:$B,2,FALSE),"")</f>
        <v/>
      </c>
      <c r="E17" s="29" t="str">
        <f>IF('Comptage Décadaire'!E18&lt;&gt;"",VLOOKUP('Comptage Décadaire'!E18,'Comptage Décadaire'!E:E,1,FALSE),"")</f>
        <v/>
      </c>
      <c r="F17" s="29" t="str">
        <f>IF('Comptage Décadaire'!F18&lt;&gt;"",VLOOKUP('Comptage Décadaire'!F18,Nomenclature!$B$2:$C$4,2,FALSE),"")</f>
        <v/>
      </c>
      <c r="G17" s="29" t="str">
        <f>IF('Comptage Décadaire'!G18&lt;&gt;"",VLOOKUP('Comptage Décadaire'!G18,'Comptage Décadaire'!G:G,1,FALSE),"")</f>
        <v/>
      </c>
      <c r="H17" s="29" t="str">
        <f>IF('Comptage Décadaire'!H18&lt;&gt;"",VLOOKUP('Comptage Décadaire'!H18,Nomenclature!$D$2:$E$7,2,FALSE),"")</f>
        <v/>
      </c>
      <c r="I17" s="30" t="str">
        <f>IF('Comptage Décadaire'!J18&lt;&gt;"",VLOOKUP('Comptage Décadaire'!J18,'Comptage Décadaire'!J:J,1,FALSE),"")</f>
        <v/>
      </c>
      <c r="J17" s="30" t="str">
        <f>IF('Comptage Décadaire'!K18&lt;&gt;"",VLOOKUP('Comptage Décadaire'!K18,'Comptage Décadaire'!K:K,1,FALSE),"")</f>
        <v/>
      </c>
      <c r="K17" s="30" t="str">
        <f>IF('Comptage Décadaire'!L18&lt;&gt;"",VLOOKUP('Comptage Décadaire'!L18,'Comptage Décadaire'!L:L,1,FALSE),"")</f>
        <v/>
      </c>
      <c r="L17" s="31" t="str">
        <f>IF('Comptage Décadaire'!M18&lt;&gt;"",VLOOKUP('Comptage Décadaire'!M18,'Comptage Décadaire'!M:M,1,FALSE),"")</f>
        <v/>
      </c>
      <c r="M17" s="33" t="str">
        <f>IF('Comptage Décadaire'!N18&lt;&gt;"",VLOOKUP('Comptage Décadaire'!N18,Utilisateurs!$D:$F,3,FALSE),"")</f>
        <v/>
      </c>
      <c r="N17" s="33" t="str">
        <f>IF('Comptage Décadaire'!O18&lt;&gt;"",VLOOKUP('Comptage Décadaire'!O18,Utilisateurs!$D:$F,3,FALSE),"")</f>
        <v/>
      </c>
      <c r="O17" s="33" t="str">
        <f>IF('Comptage Décadaire'!P18&lt;&gt;"",VLOOKUP('Comptage Décadaire'!P18,Utilisateurs!$D:$F,3,FALSE),"")</f>
        <v/>
      </c>
      <c r="P17" s="33" t="str">
        <f>IF('Comptage Décadaire'!Q18&lt;&gt;"",VLOOKUP('Comptage Décadaire'!Q18,Utilisateurs!$D:$F,3,FALSE),"")</f>
        <v/>
      </c>
      <c r="Q17" s="33" t="str">
        <f>IF('Comptage Décadaire'!R18&lt;&gt;"",VLOOKUP('Comptage Décadaire'!R18,Utilisateurs!$D:$F,3,FALSE),"")</f>
        <v/>
      </c>
      <c r="R17" s="30" t="str">
        <f>IF('Comptage Décadaire'!S18&lt;&gt;"",VLOOKUP('Comptage Décadaire'!S18,Nomenclature!$N:$O,2,FALSE),"")</f>
        <v/>
      </c>
      <c r="S17" s="30" t="str">
        <f>IF('Comptage Décadaire'!T18&lt;&gt;"",VLOOKUP('Comptage Décadaire'!T18,'Comptage Décadaire'!T:T,1,FALSE),"")</f>
        <v/>
      </c>
      <c r="T17" s="30" t="str">
        <f>IF('Comptage Décadaire'!U18&lt;&gt;"",VLOOKUP('Comptage Décadaire'!U18,'Comptage Décadaire'!U:U,1,FALSE),"")</f>
        <v/>
      </c>
      <c r="U17" s="30" t="str">
        <f>IF('Comptage Décadaire'!V18&lt;&gt;"",VLOOKUP('Comptage Décadaire'!V18,'Comptage Décadaire'!V:V,1,FALSE),"")</f>
        <v/>
      </c>
      <c r="V17" s="30" t="str">
        <f>IF('Comptage Décadaire'!W18&lt;&gt;"",VLOOKUP('Comptage Décadaire'!W18,'Comptage Décadaire'!W:W,1,FALSE),"")</f>
        <v/>
      </c>
      <c r="W17" s="30" t="str">
        <f>IF('Comptage Décadaire'!X18&lt;&gt;"",VLOOKUP('Comptage Décadaire'!X18,'Comptage Décadaire'!X:X,1,FALSE),"")</f>
        <v/>
      </c>
      <c r="X17" s="30" t="str">
        <f>IF('Comptage Décadaire'!Y18&lt;&gt;"",VLOOKUP('Comptage Décadaire'!Y18,'Comptage Décadaire'!Y:Y,1,FALSE),"")</f>
        <v/>
      </c>
      <c r="Y17" s="30" t="str">
        <f>IF('Comptage Décadaire'!Z18&lt;&gt;"",VLOOKUP('Comptage Décadaire'!Z18,Nomenclature!$F$2:$G$7,2,FALSE),"")</f>
        <v/>
      </c>
      <c r="Z17" s="30" t="str">
        <f>IF('Comptage Décadaire'!AA18&lt;&gt;"",VLOOKUP('Comptage Décadaire'!AA18,Nomenclature!$H$2:$I$31,2,FALSE),"")</f>
        <v/>
      </c>
      <c r="AA17" s="30" t="str">
        <f>IF('Comptage Décadaire'!AB18&lt;&gt;"",VLOOKUP('Comptage Décadaire'!AB18,Nomenclature!$J$2:$K$21,2,FALSE),"")</f>
        <v/>
      </c>
      <c r="AB17" s="30" t="str">
        <f>IF('Comptage Décadaire'!AC18&lt;&gt;"",VLOOKUP('Comptage Décadaire'!AC18,'Comptage Décadaire'!AC:AC,1,FALSE),"")</f>
        <v/>
      </c>
      <c r="AC17" s="32" t="str">
        <f>IF('Comptage Décadaire'!AD18&lt;&gt;"",VLOOKUP('Comptage Décadaire'!AD18,Nomenclature!$L$2:$M$8,2,FALSE),"")</f>
        <v/>
      </c>
      <c r="AD17" s="32" t="str">
        <f>IF('Comptage Décadaire'!AE18&lt;&gt;"",VLOOKUP('Comptage Décadaire'!AE18,Utilisateurs!$D$2:$F$81,3,FALSE),"")</f>
        <v/>
      </c>
      <c r="AE17" s="35" t="str">
        <f>IF('Comptage Décadaire'!AF18&lt;&gt;"",VLOOKUP('Comptage Décadaire'!AF18,'Comptage Décadaire'!AF:AF,1,FALSE),"")</f>
        <v/>
      </c>
      <c r="AF17" s="32" t="str">
        <f>IF('Comptage Décadaire'!AG18&lt;&gt;"",VLOOKUP('Comptage Décadaire'!AG18,'Comptage Décadaire'!AG:AG,1,FALSE),"")</f>
        <v/>
      </c>
    </row>
    <row r="18" spans="1:32" x14ac:dyDescent="0.25">
      <c r="A18" s="25" t="str">
        <f>IF('Comptage Décadaire'!A19&lt;&gt;"",VLOOKUP('Comptage Décadaire'!A19,'Comptage Décadaire'!A:A,1,FALSE),"")</f>
        <v/>
      </c>
      <c r="B18" s="27" t="str">
        <f>IF('Comptage Décadaire'!B19&lt;&gt;"",VLOOKUP('Comptage Décadaire'!B19,'Comptage Décadaire'!B:B,1,FALSE),"")</f>
        <v/>
      </c>
      <c r="C18" s="28" t="str">
        <f>IF('Comptage Décadaire'!C19&lt;&gt;"",VLOOKUP('Comptage Décadaire'!C19,'Comptage Décadaire'!C:C,1,FALSE),"")</f>
        <v/>
      </c>
      <c r="D18" s="29" t="str">
        <f>IF('Comptage Décadaire'!D19&lt;&gt;"",VLOOKUP('Comptage Décadaire'!D19,Sites!$A:$B,2,FALSE),"")</f>
        <v/>
      </c>
      <c r="E18" s="29" t="str">
        <f>IF('Comptage Décadaire'!E19&lt;&gt;"",VLOOKUP('Comptage Décadaire'!E19,'Comptage Décadaire'!E:E,1,FALSE),"")</f>
        <v/>
      </c>
      <c r="F18" s="29" t="str">
        <f>IF('Comptage Décadaire'!F19&lt;&gt;"",VLOOKUP('Comptage Décadaire'!F19,Nomenclature!$B$2:$C$4,2,FALSE),"")</f>
        <v/>
      </c>
      <c r="G18" s="29" t="str">
        <f>IF('Comptage Décadaire'!G19&lt;&gt;"",VLOOKUP('Comptage Décadaire'!G19,'Comptage Décadaire'!G:G,1,FALSE),"")</f>
        <v/>
      </c>
      <c r="H18" s="29" t="str">
        <f>IF('Comptage Décadaire'!H19&lt;&gt;"",VLOOKUP('Comptage Décadaire'!H19,Nomenclature!$D$2:$E$7,2,FALSE),"")</f>
        <v/>
      </c>
      <c r="I18" s="30" t="str">
        <f>IF('Comptage Décadaire'!J19&lt;&gt;"",VLOOKUP('Comptage Décadaire'!J19,'Comptage Décadaire'!J:J,1,FALSE),"")</f>
        <v/>
      </c>
      <c r="J18" s="30" t="str">
        <f>IF('Comptage Décadaire'!K19&lt;&gt;"",VLOOKUP('Comptage Décadaire'!K19,'Comptage Décadaire'!K:K,1,FALSE),"")</f>
        <v/>
      </c>
      <c r="K18" s="30" t="str">
        <f>IF('Comptage Décadaire'!L19&lt;&gt;"",VLOOKUP('Comptage Décadaire'!L19,'Comptage Décadaire'!L:L,1,FALSE),"")</f>
        <v/>
      </c>
      <c r="L18" s="31" t="str">
        <f>IF('Comptage Décadaire'!M19&lt;&gt;"",VLOOKUP('Comptage Décadaire'!M19,'Comptage Décadaire'!M:M,1,FALSE),"")</f>
        <v/>
      </c>
      <c r="M18" s="33" t="str">
        <f>IF('Comptage Décadaire'!N19&lt;&gt;"",VLOOKUP('Comptage Décadaire'!N19,Utilisateurs!$D:$F,3,FALSE),"")</f>
        <v/>
      </c>
      <c r="N18" s="33" t="str">
        <f>IF('Comptage Décadaire'!O19&lt;&gt;"",VLOOKUP('Comptage Décadaire'!O19,Utilisateurs!$D:$F,3,FALSE),"")</f>
        <v/>
      </c>
      <c r="O18" s="33" t="str">
        <f>IF('Comptage Décadaire'!P19&lt;&gt;"",VLOOKUP('Comptage Décadaire'!P19,Utilisateurs!$D:$F,3,FALSE),"")</f>
        <v/>
      </c>
      <c r="P18" s="33" t="str">
        <f>IF('Comptage Décadaire'!Q19&lt;&gt;"",VLOOKUP('Comptage Décadaire'!Q19,Utilisateurs!$D:$F,3,FALSE),"")</f>
        <v/>
      </c>
      <c r="Q18" s="33" t="str">
        <f>IF('Comptage Décadaire'!R19&lt;&gt;"",VLOOKUP('Comptage Décadaire'!R19,Utilisateurs!$D:$F,3,FALSE),"")</f>
        <v/>
      </c>
      <c r="R18" s="30" t="str">
        <f>IF('Comptage Décadaire'!S19&lt;&gt;"",VLOOKUP('Comptage Décadaire'!S19,Nomenclature!$N:$O,2,FALSE),"")</f>
        <v/>
      </c>
      <c r="S18" s="30" t="str">
        <f>IF('Comptage Décadaire'!T19&lt;&gt;"",VLOOKUP('Comptage Décadaire'!T19,'Comptage Décadaire'!T:T,1,FALSE),"")</f>
        <v/>
      </c>
      <c r="T18" s="30" t="str">
        <f>IF('Comptage Décadaire'!U19&lt;&gt;"",VLOOKUP('Comptage Décadaire'!U19,'Comptage Décadaire'!U:U,1,FALSE),"")</f>
        <v/>
      </c>
      <c r="U18" s="30" t="str">
        <f>IF('Comptage Décadaire'!V19&lt;&gt;"",VLOOKUP('Comptage Décadaire'!V19,'Comptage Décadaire'!V:V,1,FALSE),"")</f>
        <v/>
      </c>
      <c r="V18" s="30" t="str">
        <f>IF('Comptage Décadaire'!W19&lt;&gt;"",VLOOKUP('Comptage Décadaire'!W19,'Comptage Décadaire'!W:W,1,FALSE),"")</f>
        <v/>
      </c>
      <c r="W18" s="30" t="str">
        <f>IF('Comptage Décadaire'!X19&lt;&gt;"",VLOOKUP('Comptage Décadaire'!X19,'Comptage Décadaire'!X:X,1,FALSE),"")</f>
        <v/>
      </c>
      <c r="X18" s="30" t="str">
        <f>IF('Comptage Décadaire'!Y19&lt;&gt;"",VLOOKUP('Comptage Décadaire'!Y19,'Comptage Décadaire'!Y:Y,1,FALSE),"")</f>
        <v/>
      </c>
      <c r="Y18" s="30" t="str">
        <f>IF('Comptage Décadaire'!Z19&lt;&gt;"",VLOOKUP('Comptage Décadaire'!Z19,Nomenclature!$F$2:$G$7,2,FALSE),"")</f>
        <v/>
      </c>
      <c r="Z18" s="30" t="str">
        <f>IF('Comptage Décadaire'!AA19&lt;&gt;"",VLOOKUP('Comptage Décadaire'!AA19,Nomenclature!$H$2:$I$31,2,FALSE),"")</f>
        <v/>
      </c>
      <c r="AA18" s="30" t="str">
        <f>IF('Comptage Décadaire'!AB19&lt;&gt;"",VLOOKUP('Comptage Décadaire'!AB19,Nomenclature!$J$2:$K$21,2,FALSE),"")</f>
        <v/>
      </c>
      <c r="AB18" s="30" t="str">
        <f>IF('Comptage Décadaire'!AC19&lt;&gt;"",VLOOKUP('Comptage Décadaire'!AC19,'Comptage Décadaire'!AC:AC,1,FALSE),"")</f>
        <v/>
      </c>
      <c r="AC18" s="32" t="str">
        <f>IF('Comptage Décadaire'!AD19&lt;&gt;"",VLOOKUP('Comptage Décadaire'!AD19,Nomenclature!$L$2:$M$8,2,FALSE),"")</f>
        <v/>
      </c>
      <c r="AD18" s="32" t="str">
        <f>IF('Comptage Décadaire'!AE19&lt;&gt;"",VLOOKUP('Comptage Décadaire'!AE19,Utilisateurs!$D$2:$F$81,3,FALSE),"")</f>
        <v/>
      </c>
      <c r="AE18" s="35" t="str">
        <f>IF('Comptage Décadaire'!AF19&lt;&gt;"",VLOOKUP('Comptage Décadaire'!AF19,'Comptage Décadaire'!AF:AF,1,FALSE),"")</f>
        <v/>
      </c>
      <c r="AF18" s="32" t="str">
        <f>IF('Comptage Décadaire'!AG19&lt;&gt;"",VLOOKUP('Comptage Décadaire'!AG19,'Comptage Décadaire'!AG:AG,1,FALSE),"")</f>
        <v/>
      </c>
    </row>
    <row r="19" spans="1:32" x14ac:dyDescent="0.25">
      <c r="A19" s="25" t="str">
        <f>IF('Comptage Décadaire'!A20&lt;&gt;"",VLOOKUP('Comptage Décadaire'!A20,'Comptage Décadaire'!A:A,1,FALSE),"")</f>
        <v/>
      </c>
      <c r="B19" s="27" t="str">
        <f>IF('Comptage Décadaire'!B20&lt;&gt;"",VLOOKUP('Comptage Décadaire'!B20,'Comptage Décadaire'!B:B,1,FALSE),"")</f>
        <v/>
      </c>
      <c r="C19" s="28" t="str">
        <f>IF('Comptage Décadaire'!C20&lt;&gt;"",VLOOKUP('Comptage Décadaire'!C20,'Comptage Décadaire'!C:C,1,FALSE),"")</f>
        <v/>
      </c>
      <c r="D19" s="29" t="str">
        <f>IF('Comptage Décadaire'!D20&lt;&gt;"",VLOOKUP('Comptage Décadaire'!D20,Sites!$A:$B,2,FALSE),"")</f>
        <v/>
      </c>
      <c r="E19" s="29" t="str">
        <f>IF('Comptage Décadaire'!E20&lt;&gt;"",VLOOKUP('Comptage Décadaire'!E20,'Comptage Décadaire'!E:E,1,FALSE),"")</f>
        <v/>
      </c>
      <c r="F19" s="29" t="str">
        <f>IF('Comptage Décadaire'!F20&lt;&gt;"",VLOOKUP('Comptage Décadaire'!F20,Nomenclature!$B$2:$C$4,2,FALSE),"")</f>
        <v/>
      </c>
      <c r="G19" s="29" t="str">
        <f>IF('Comptage Décadaire'!G20&lt;&gt;"",VLOOKUP('Comptage Décadaire'!G20,'Comptage Décadaire'!G:G,1,FALSE),"")</f>
        <v/>
      </c>
      <c r="H19" s="29" t="str">
        <f>IF('Comptage Décadaire'!H20&lt;&gt;"",VLOOKUP('Comptage Décadaire'!H20,Nomenclature!$D$2:$E$7,2,FALSE),"")</f>
        <v/>
      </c>
      <c r="I19" s="30" t="str">
        <f>IF('Comptage Décadaire'!J20&lt;&gt;"",VLOOKUP('Comptage Décadaire'!J20,'Comptage Décadaire'!J:J,1,FALSE),"")</f>
        <v/>
      </c>
      <c r="J19" s="30" t="str">
        <f>IF('Comptage Décadaire'!K20&lt;&gt;"",VLOOKUP('Comptage Décadaire'!K20,'Comptage Décadaire'!K:K,1,FALSE),"")</f>
        <v/>
      </c>
      <c r="K19" s="30" t="str">
        <f>IF('Comptage Décadaire'!L20&lt;&gt;"",VLOOKUP('Comptage Décadaire'!L20,'Comptage Décadaire'!L:L,1,FALSE),"")</f>
        <v/>
      </c>
      <c r="L19" s="31" t="str">
        <f>IF('Comptage Décadaire'!M20&lt;&gt;"",VLOOKUP('Comptage Décadaire'!M20,'Comptage Décadaire'!M:M,1,FALSE),"")</f>
        <v/>
      </c>
      <c r="M19" s="33" t="str">
        <f>IF('Comptage Décadaire'!N20&lt;&gt;"",VLOOKUP('Comptage Décadaire'!N20,Utilisateurs!$D:$F,3,FALSE),"")</f>
        <v/>
      </c>
      <c r="N19" s="33" t="str">
        <f>IF('Comptage Décadaire'!O20&lt;&gt;"",VLOOKUP('Comptage Décadaire'!O20,Utilisateurs!$D:$F,3,FALSE),"")</f>
        <v/>
      </c>
      <c r="O19" s="33" t="str">
        <f>IF('Comptage Décadaire'!P20&lt;&gt;"",VLOOKUP('Comptage Décadaire'!P20,Utilisateurs!$D:$F,3,FALSE),"")</f>
        <v/>
      </c>
      <c r="P19" s="33" t="str">
        <f>IF('Comptage Décadaire'!Q20&lt;&gt;"",VLOOKUP('Comptage Décadaire'!Q20,Utilisateurs!$D:$F,3,FALSE),"")</f>
        <v/>
      </c>
      <c r="Q19" s="33" t="str">
        <f>IF('Comptage Décadaire'!R20&lt;&gt;"",VLOOKUP('Comptage Décadaire'!R20,Utilisateurs!$D:$F,3,FALSE),"")</f>
        <v/>
      </c>
      <c r="R19" s="30" t="str">
        <f>IF('Comptage Décadaire'!S20&lt;&gt;"",VLOOKUP('Comptage Décadaire'!S20,Nomenclature!$N:$O,2,FALSE),"")</f>
        <v/>
      </c>
      <c r="S19" s="30" t="str">
        <f>IF('Comptage Décadaire'!T20&lt;&gt;"",VLOOKUP('Comptage Décadaire'!T20,'Comptage Décadaire'!T:T,1,FALSE),"")</f>
        <v/>
      </c>
      <c r="T19" s="30" t="str">
        <f>IF('Comptage Décadaire'!U20&lt;&gt;"",VLOOKUP('Comptage Décadaire'!U20,'Comptage Décadaire'!U:U,1,FALSE),"")</f>
        <v/>
      </c>
      <c r="U19" s="30" t="str">
        <f>IF('Comptage Décadaire'!V20&lt;&gt;"",VLOOKUP('Comptage Décadaire'!V20,'Comptage Décadaire'!V:V,1,FALSE),"")</f>
        <v/>
      </c>
      <c r="V19" s="30" t="str">
        <f>IF('Comptage Décadaire'!W20&lt;&gt;"",VLOOKUP('Comptage Décadaire'!W20,'Comptage Décadaire'!W:W,1,FALSE),"")</f>
        <v/>
      </c>
      <c r="W19" s="30" t="str">
        <f>IF('Comptage Décadaire'!X20&lt;&gt;"",VLOOKUP('Comptage Décadaire'!X20,'Comptage Décadaire'!X:X,1,FALSE),"")</f>
        <v/>
      </c>
      <c r="X19" s="30" t="str">
        <f>IF('Comptage Décadaire'!Y20&lt;&gt;"",VLOOKUP('Comptage Décadaire'!Y20,'Comptage Décadaire'!Y:Y,1,FALSE),"")</f>
        <v/>
      </c>
      <c r="Y19" s="30" t="str">
        <f>IF('Comptage Décadaire'!Z20&lt;&gt;"",VLOOKUP('Comptage Décadaire'!Z20,Nomenclature!$F$2:$G$7,2,FALSE),"")</f>
        <v/>
      </c>
      <c r="Z19" s="30" t="str">
        <f>IF('Comptage Décadaire'!AA20&lt;&gt;"",VLOOKUP('Comptage Décadaire'!AA20,Nomenclature!$H$2:$I$31,2,FALSE),"")</f>
        <v/>
      </c>
      <c r="AA19" s="30" t="str">
        <f>IF('Comptage Décadaire'!AB20&lt;&gt;"",VLOOKUP('Comptage Décadaire'!AB20,Nomenclature!$J$2:$K$21,2,FALSE),"")</f>
        <v/>
      </c>
      <c r="AB19" s="30" t="str">
        <f>IF('Comptage Décadaire'!AC20&lt;&gt;"",VLOOKUP('Comptage Décadaire'!AC20,'Comptage Décadaire'!AC:AC,1,FALSE),"")</f>
        <v/>
      </c>
      <c r="AC19" s="32" t="str">
        <f>IF('Comptage Décadaire'!AD20&lt;&gt;"",VLOOKUP('Comptage Décadaire'!AD20,Nomenclature!$L$2:$M$8,2,FALSE),"")</f>
        <v/>
      </c>
      <c r="AD19" s="32" t="str">
        <f>IF('Comptage Décadaire'!AE20&lt;&gt;"",VLOOKUP('Comptage Décadaire'!AE20,Utilisateurs!$D$2:$F$81,3,FALSE),"")</f>
        <v/>
      </c>
      <c r="AE19" s="35" t="str">
        <f>IF('Comptage Décadaire'!AF20&lt;&gt;"",VLOOKUP('Comptage Décadaire'!AF20,'Comptage Décadaire'!AF:AF,1,FALSE),"")</f>
        <v/>
      </c>
      <c r="AF19" s="32" t="str">
        <f>IF('Comptage Décadaire'!AG20&lt;&gt;"",VLOOKUP('Comptage Décadaire'!AG20,'Comptage Décadaire'!AG:AG,1,FALSE),"")</f>
        <v/>
      </c>
    </row>
    <row r="20" spans="1:32" x14ac:dyDescent="0.25">
      <c r="A20" s="25" t="str">
        <f>IF('Comptage Décadaire'!A21&lt;&gt;"",VLOOKUP('Comptage Décadaire'!A21,'Comptage Décadaire'!A:A,1,FALSE),"")</f>
        <v/>
      </c>
      <c r="B20" s="27" t="str">
        <f>IF('Comptage Décadaire'!B21&lt;&gt;"",VLOOKUP('Comptage Décadaire'!B21,'Comptage Décadaire'!B:B,1,FALSE),"")</f>
        <v/>
      </c>
      <c r="C20" s="28" t="str">
        <f>IF('Comptage Décadaire'!C21&lt;&gt;"",VLOOKUP('Comptage Décadaire'!C21,'Comptage Décadaire'!C:C,1,FALSE),"")</f>
        <v/>
      </c>
      <c r="D20" s="29" t="str">
        <f>IF('Comptage Décadaire'!D21&lt;&gt;"",VLOOKUP('Comptage Décadaire'!D21,Sites!$A:$B,2,FALSE),"")</f>
        <v/>
      </c>
      <c r="E20" s="29" t="str">
        <f>IF('Comptage Décadaire'!E21&lt;&gt;"",VLOOKUP('Comptage Décadaire'!E21,'Comptage Décadaire'!E:E,1,FALSE),"")</f>
        <v/>
      </c>
      <c r="F20" s="29" t="str">
        <f>IF('Comptage Décadaire'!F21&lt;&gt;"",VLOOKUP('Comptage Décadaire'!F21,Nomenclature!$B$2:$C$4,2,FALSE),"")</f>
        <v/>
      </c>
      <c r="G20" s="29" t="str">
        <f>IF('Comptage Décadaire'!G21&lt;&gt;"",VLOOKUP('Comptage Décadaire'!G21,'Comptage Décadaire'!G:G,1,FALSE),"")</f>
        <v/>
      </c>
      <c r="H20" s="29" t="str">
        <f>IF('Comptage Décadaire'!H21&lt;&gt;"",VLOOKUP('Comptage Décadaire'!H21,Nomenclature!$D$2:$E$7,2,FALSE),"")</f>
        <v/>
      </c>
      <c r="I20" s="30" t="str">
        <f>IF('Comptage Décadaire'!J21&lt;&gt;"",VLOOKUP('Comptage Décadaire'!J21,'Comptage Décadaire'!J:J,1,FALSE),"")</f>
        <v/>
      </c>
      <c r="J20" s="30" t="str">
        <f>IF('Comptage Décadaire'!K21&lt;&gt;"",VLOOKUP('Comptage Décadaire'!K21,'Comptage Décadaire'!K:K,1,FALSE),"")</f>
        <v/>
      </c>
      <c r="K20" s="30" t="str">
        <f>IF('Comptage Décadaire'!L21&lt;&gt;"",VLOOKUP('Comptage Décadaire'!L21,'Comptage Décadaire'!L:L,1,FALSE),"")</f>
        <v/>
      </c>
      <c r="L20" s="31" t="str">
        <f>IF('Comptage Décadaire'!M21&lt;&gt;"",VLOOKUP('Comptage Décadaire'!M21,'Comptage Décadaire'!M:M,1,FALSE),"")</f>
        <v/>
      </c>
      <c r="M20" s="33" t="str">
        <f>IF('Comptage Décadaire'!N21&lt;&gt;"",VLOOKUP('Comptage Décadaire'!N21,Utilisateurs!$D:$F,3,FALSE),"")</f>
        <v/>
      </c>
      <c r="N20" s="33" t="str">
        <f>IF('Comptage Décadaire'!O21&lt;&gt;"",VLOOKUP('Comptage Décadaire'!O21,Utilisateurs!$D:$F,3,FALSE),"")</f>
        <v/>
      </c>
      <c r="O20" s="33" t="str">
        <f>IF('Comptage Décadaire'!P21&lt;&gt;"",VLOOKUP('Comptage Décadaire'!P21,Utilisateurs!$D:$F,3,FALSE),"")</f>
        <v/>
      </c>
      <c r="P20" s="33" t="str">
        <f>IF('Comptage Décadaire'!Q21&lt;&gt;"",VLOOKUP('Comptage Décadaire'!Q21,Utilisateurs!$D:$F,3,FALSE),"")</f>
        <v/>
      </c>
      <c r="Q20" s="33" t="str">
        <f>IF('Comptage Décadaire'!R21&lt;&gt;"",VLOOKUP('Comptage Décadaire'!R21,Utilisateurs!$D:$F,3,FALSE),"")</f>
        <v/>
      </c>
      <c r="R20" s="30" t="str">
        <f>IF('Comptage Décadaire'!S21&lt;&gt;"",VLOOKUP('Comptage Décadaire'!S21,Nomenclature!$N:$O,2,FALSE),"")</f>
        <v/>
      </c>
      <c r="S20" s="30" t="str">
        <f>IF('Comptage Décadaire'!T21&lt;&gt;"",VLOOKUP('Comptage Décadaire'!T21,'Comptage Décadaire'!T:T,1,FALSE),"")</f>
        <v/>
      </c>
      <c r="T20" s="30" t="str">
        <f>IF('Comptage Décadaire'!U21&lt;&gt;"",VLOOKUP('Comptage Décadaire'!U21,'Comptage Décadaire'!U:U,1,FALSE),"")</f>
        <v/>
      </c>
      <c r="U20" s="30" t="str">
        <f>IF('Comptage Décadaire'!V21&lt;&gt;"",VLOOKUP('Comptage Décadaire'!V21,'Comptage Décadaire'!V:V,1,FALSE),"")</f>
        <v/>
      </c>
      <c r="V20" s="30" t="str">
        <f>IF('Comptage Décadaire'!W21&lt;&gt;"",VLOOKUP('Comptage Décadaire'!W21,'Comptage Décadaire'!W:W,1,FALSE),"")</f>
        <v/>
      </c>
      <c r="W20" s="30" t="str">
        <f>IF('Comptage Décadaire'!X21&lt;&gt;"",VLOOKUP('Comptage Décadaire'!X21,'Comptage Décadaire'!X:X,1,FALSE),"")</f>
        <v/>
      </c>
      <c r="X20" s="30" t="str">
        <f>IF('Comptage Décadaire'!Y21&lt;&gt;"",VLOOKUP('Comptage Décadaire'!Y21,'Comptage Décadaire'!Y:Y,1,FALSE),"")</f>
        <v/>
      </c>
      <c r="Y20" s="30" t="str">
        <f>IF('Comptage Décadaire'!Z21&lt;&gt;"",VLOOKUP('Comptage Décadaire'!Z21,Nomenclature!$F$2:$G$7,2,FALSE),"")</f>
        <v/>
      </c>
      <c r="Z20" s="30" t="str">
        <f>IF('Comptage Décadaire'!AA21&lt;&gt;"",VLOOKUP('Comptage Décadaire'!AA21,Nomenclature!$H$2:$I$31,2,FALSE),"")</f>
        <v/>
      </c>
      <c r="AA20" s="30" t="str">
        <f>IF('Comptage Décadaire'!AB21&lt;&gt;"",VLOOKUP('Comptage Décadaire'!AB21,Nomenclature!$J$2:$K$21,2,FALSE),"")</f>
        <v/>
      </c>
      <c r="AB20" s="30" t="str">
        <f>IF('Comptage Décadaire'!AC21&lt;&gt;"",VLOOKUP('Comptage Décadaire'!AC21,'Comptage Décadaire'!AC:AC,1,FALSE),"")</f>
        <v/>
      </c>
      <c r="AC20" s="32" t="str">
        <f>IF('Comptage Décadaire'!AD21&lt;&gt;"",VLOOKUP('Comptage Décadaire'!AD21,Nomenclature!$L$2:$M$8,2,FALSE),"")</f>
        <v/>
      </c>
      <c r="AD20" s="32" t="str">
        <f>IF('Comptage Décadaire'!AE21&lt;&gt;"",VLOOKUP('Comptage Décadaire'!AE21,Utilisateurs!$D$2:$F$81,3,FALSE),"")</f>
        <v/>
      </c>
      <c r="AE20" s="35" t="str">
        <f>IF('Comptage Décadaire'!AF21&lt;&gt;"",VLOOKUP('Comptage Décadaire'!AF21,'Comptage Décadaire'!AF:AF,1,FALSE),"")</f>
        <v/>
      </c>
      <c r="AF20" s="32" t="str">
        <f>IF('Comptage Décadaire'!AG21&lt;&gt;"",VLOOKUP('Comptage Décadaire'!AG21,'Comptage Décadaire'!AG:AG,1,FALSE),"")</f>
        <v/>
      </c>
    </row>
    <row r="21" spans="1:32" x14ac:dyDescent="0.25">
      <c r="A21" s="25" t="str">
        <f>IF('Comptage Décadaire'!A22&lt;&gt;"",VLOOKUP('Comptage Décadaire'!A22,'Comptage Décadaire'!A:A,1,FALSE),"")</f>
        <v/>
      </c>
      <c r="B21" s="27" t="str">
        <f>IF('Comptage Décadaire'!B22&lt;&gt;"",VLOOKUP('Comptage Décadaire'!B22,'Comptage Décadaire'!B:B,1,FALSE),"")</f>
        <v/>
      </c>
      <c r="C21" s="28" t="str">
        <f>IF('Comptage Décadaire'!C22&lt;&gt;"",VLOOKUP('Comptage Décadaire'!C22,'Comptage Décadaire'!C:C,1,FALSE),"")</f>
        <v/>
      </c>
      <c r="D21" s="29" t="str">
        <f>IF('Comptage Décadaire'!D22&lt;&gt;"",VLOOKUP('Comptage Décadaire'!D22,Sites!$A:$B,2,FALSE),"")</f>
        <v/>
      </c>
      <c r="E21" s="29" t="str">
        <f>IF('Comptage Décadaire'!E22&lt;&gt;"",VLOOKUP('Comptage Décadaire'!E22,'Comptage Décadaire'!E:E,1,FALSE),"")</f>
        <v/>
      </c>
      <c r="F21" s="29" t="str">
        <f>IF('Comptage Décadaire'!F22&lt;&gt;"",VLOOKUP('Comptage Décadaire'!F22,Nomenclature!$B$2:$C$4,2,FALSE),"")</f>
        <v/>
      </c>
      <c r="G21" s="29" t="str">
        <f>IF('Comptage Décadaire'!G22&lt;&gt;"",VLOOKUP('Comptage Décadaire'!G22,'Comptage Décadaire'!G:G,1,FALSE),"")</f>
        <v/>
      </c>
      <c r="H21" s="29" t="str">
        <f>IF('Comptage Décadaire'!H22&lt;&gt;"",VLOOKUP('Comptage Décadaire'!H22,Nomenclature!$D$2:$E$7,2,FALSE),"")</f>
        <v/>
      </c>
      <c r="I21" s="30" t="str">
        <f>IF('Comptage Décadaire'!J22&lt;&gt;"",VLOOKUP('Comptage Décadaire'!J22,'Comptage Décadaire'!J:J,1,FALSE),"")</f>
        <v/>
      </c>
      <c r="J21" s="30" t="str">
        <f>IF('Comptage Décadaire'!K22&lt;&gt;"",VLOOKUP('Comptage Décadaire'!K22,'Comptage Décadaire'!K:K,1,FALSE),"")</f>
        <v/>
      </c>
      <c r="K21" s="30" t="str">
        <f>IF('Comptage Décadaire'!L22&lt;&gt;"",VLOOKUP('Comptage Décadaire'!L22,'Comptage Décadaire'!L:L,1,FALSE),"")</f>
        <v/>
      </c>
      <c r="L21" s="31" t="str">
        <f>IF('Comptage Décadaire'!M22&lt;&gt;"",VLOOKUP('Comptage Décadaire'!M22,'Comptage Décadaire'!M:M,1,FALSE),"")</f>
        <v/>
      </c>
      <c r="M21" s="33" t="str">
        <f>IF('Comptage Décadaire'!N22&lt;&gt;"",VLOOKUP('Comptage Décadaire'!N22,Utilisateurs!$D:$F,3,FALSE),"")</f>
        <v/>
      </c>
      <c r="N21" s="33" t="str">
        <f>IF('Comptage Décadaire'!O22&lt;&gt;"",VLOOKUP('Comptage Décadaire'!O22,Utilisateurs!$D:$F,3,FALSE),"")</f>
        <v/>
      </c>
      <c r="O21" s="33" t="str">
        <f>IF('Comptage Décadaire'!P22&lt;&gt;"",VLOOKUP('Comptage Décadaire'!P22,Utilisateurs!$D:$F,3,FALSE),"")</f>
        <v/>
      </c>
      <c r="P21" s="33" t="str">
        <f>IF('Comptage Décadaire'!Q22&lt;&gt;"",VLOOKUP('Comptage Décadaire'!Q22,Utilisateurs!$D:$F,3,FALSE),"")</f>
        <v/>
      </c>
      <c r="Q21" s="33" t="str">
        <f>IF('Comptage Décadaire'!R22&lt;&gt;"",VLOOKUP('Comptage Décadaire'!R22,Utilisateurs!$D:$F,3,FALSE),"")</f>
        <v/>
      </c>
      <c r="R21" s="30" t="str">
        <f>IF('Comptage Décadaire'!S22&lt;&gt;"",VLOOKUP('Comptage Décadaire'!S22,Nomenclature!$N:$O,2,FALSE),"")</f>
        <v/>
      </c>
      <c r="S21" s="30" t="str">
        <f>IF('Comptage Décadaire'!T22&lt;&gt;"",VLOOKUP('Comptage Décadaire'!T22,'Comptage Décadaire'!T:T,1,FALSE),"")</f>
        <v/>
      </c>
      <c r="T21" s="30" t="str">
        <f>IF('Comptage Décadaire'!U22&lt;&gt;"",VLOOKUP('Comptage Décadaire'!U22,'Comptage Décadaire'!U:U,1,FALSE),"")</f>
        <v/>
      </c>
      <c r="U21" s="30" t="str">
        <f>IF('Comptage Décadaire'!V22&lt;&gt;"",VLOOKUP('Comptage Décadaire'!V22,'Comptage Décadaire'!V:V,1,FALSE),"")</f>
        <v/>
      </c>
      <c r="V21" s="30" t="str">
        <f>IF('Comptage Décadaire'!W22&lt;&gt;"",VLOOKUP('Comptage Décadaire'!W22,'Comptage Décadaire'!W:W,1,FALSE),"")</f>
        <v/>
      </c>
      <c r="W21" s="30" t="str">
        <f>IF('Comptage Décadaire'!X22&lt;&gt;"",VLOOKUP('Comptage Décadaire'!X22,'Comptage Décadaire'!X:X,1,FALSE),"")</f>
        <v/>
      </c>
      <c r="X21" s="30" t="str">
        <f>IF('Comptage Décadaire'!Y22&lt;&gt;"",VLOOKUP('Comptage Décadaire'!Y22,'Comptage Décadaire'!Y:Y,1,FALSE),"")</f>
        <v/>
      </c>
      <c r="Y21" s="30" t="str">
        <f>IF('Comptage Décadaire'!Z22&lt;&gt;"",VLOOKUP('Comptage Décadaire'!Z22,Nomenclature!$F$2:$G$7,2,FALSE),"")</f>
        <v/>
      </c>
      <c r="Z21" s="30" t="str">
        <f>IF('Comptage Décadaire'!AA22&lt;&gt;"",VLOOKUP('Comptage Décadaire'!AA22,Nomenclature!$H$2:$I$31,2,FALSE),"")</f>
        <v/>
      </c>
      <c r="AA21" s="30" t="str">
        <f>IF('Comptage Décadaire'!AB22&lt;&gt;"",VLOOKUP('Comptage Décadaire'!AB22,Nomenclature!$J$2:$K$21,2,FALSE),"")</f>
        <v/>
      </c>
      <c r="AB21" s="30" t="str">
        <f>IF('Comptage Décadaire'!AC22&lt;&gt;"",VLOOKUP('Comptage Décadaire'!AC22,'Comptage Décadaire'!AC:AC,1,FALSE),"")</f>
        <v/>
      </c>
      <c r="AC21" s="32" t="str">
        <f>IF('Comptage Décadaire'!AD22&lt;&gt;"",VLOOKUP('Comptage Décadaire'!AD22,Nomenclature!$L$2:$M$8,2,FALSE),"")</f>
        <v/>
      </c>
      <c r="AD21" s="32" t="str">
        <f>IF('Comptage Décadaire'!AE22&lt;&gt;"",VLOOKUP('Comptage Décadaire'!AE22,Utilisateurs!$D$2:$F$81,3,FALSE),"")</f>
        <v/>
      </c>
      <c r="AE21" s="35" t="str">
        <f>IF('Comptage Décadaire'!AF22&lt;&gt;"",VLOOKUP('Comptage Décadaire'!AF22,'Comptage Décadaire'!AF:AF,1,FALSE),"")</f>
        <v/>
      </c>
      <c r="AF21" s="32" t="str">
        <f>IF('Comptage Décadaire'!AG22&lt;&gt;"",VLOOKUP('Comptage Décadaire'!AG22,'Comptage Décadaire'!AG:AG,1,FALSE),"")</f>
        <v/>
      </c>
    </row>
    <row r="22" spans="1:32" x14ac:dyDescent="0.25">
      <c r="A22" s="25" t="str">
        <f>IF('Comptage Décadaire'!A23&lt;&gt;"",VLOOKUP('Comptage Décadaire'!A23,'Comptage Décadaire'!A:A,1,FALSE),"")</f>
        <v/>
      </c>
      <c r="B22" s="27" t="str">
        <f>IF('Comptage Décadaire'!B23&lt;&gt;"",VLOOKUP('Comptage Décadaire'!B23,'Comptage Décadaire'!B:B,1,FALSE),"")</f>
        <v/>
      </c>
      <c r="C22" s="28" t="str">
        <f>IF('Comptage Décadaire'!C23&lt;&gt;"",VLOOKUP('Comptage Décadaire'!C23,'Comptage Décadaire'!C:C,1,FALSE),"")</f>
        <v/>
      </c>
      <c r="D22" s="29" t="str">
        <f>IF('Comptage Décadaire'!D23&lt;&gt;"",VLOOKUP('Comptage Décadaire'!D23,Sites!$A:$B,2,FALSE),"")</f>
        <v/>
      </c>
      <c r="E22" s="29" t="str">
        <f>IF('Comptage Décadaire'!E23&lt;&gt;"",VLOOKUP('Comptage Décadaire'!E23,'Comptage Décadaire'!E:E,1,FALSE),"")</f>
        <v/>
      </c>
      <c r="F22" s="29" t="str">
        <f>IF('Comptage Décadaire'!F23&lt;&gt;"",VLOOKUP('Comptage Décadaire'!F23,Nomenclature!$B$2:$C$4,2,FALSE),"")</f>
        <v/>
      </c>
      <c r="G22" s="29" t="str">
        <f>IF('Comptage Décadaire'!G23&lt;&gt;"",VLOOKUP('Comptage Décadaire'!G23,'Comptage Décadaire'!G:G,1,FALSE),"")</f>
        <v/>
      </c>
      <c r="H22" s="29" t="str">
        <f>IF('Comptage Décadaire'!H23&lt;&gt;"",VLOOKUP('Comptage Décadaire'!H23,Nomenclature!$D$2:$E$7,2,FALSE),"")</f>
        <v/>
      </c>
      <c r="I22" s="30" t="str">
        <f>IF('Comptage Décadaire'!J23&lt;&gt;"",VLOOKUP('Comptage Décadaire'!J23,'Comptage Décadaire'!J:J,1,FALSE),"")</f>
        <v/>
      </c>
      <c r="J22" s="30" t="str">
        <f>IF('Comptage Décadaire'!K23&lt;&gt;"",VLOOKUP('Comptage Décadaire'!K23,'Comptage Décadaire'!K:K,1,FALSE),"")</f>
        <v/>
      </c>
      <c r="K22" s="30" t="str">
        <f>IF('Comptage Décadaire'!L23&lt;&gt;"",VLOOKUP('Comptage Décadaire'!L23,'Comptage Décadaire'!L:L,1,FALSE),"")</f>
        <v/>
      </c>
      <c r="L22" s="31" t="str">
        <f>IF('Comptage Décadaire'!M23&lt;&gt;"",VLOOKUP('Comptage Décadaire'!M23,'Comptage Décadaire'!M:M,1,FALSE),"")</f>
        <v/>
      </c>
      <c r="M22" s="33" t="str">
        <f>IF('Comptage Décadaire'!N23&lt;&gt;"",VLOOKUP('Comptage Décadaire'!N23,Utilisateurs!$D:$F,3,FALSE),"")</f>
        <v/>
      </c>
      <c r="N22" s="33" t="str">
        <f>IF('Comptage Décadaire'!O23&lt;&gt;"",VLOOKUP('Comptage Décadaire'!O23,Utilisateurs!$D:$F,3,FALSE),"")</f>
        <v/>
      </c>
      <c r="O22" s="33" t="str">
        <f>IF('Comptage Décadaire'!P23&lt;&gt;"",VLOOKUP('Comptage Décadaire'!P23,Utilisateurs!$D:$F,3,FALSE),"")</f>
        <v/>
      </c>
      <c r="P22" s="33" t="str">
        <f>IF('Comptage Décadaire'!Q23&lt;&gt;"",VLOOKUP('Comptage Décadaire'!Q23,Utilisateurs!$D:$F,3,FALSE),"")</f>
        <v/>
      </c>
      <c r="Q22" s="33" t="str">
        <f>IF('Comptage Décadaire'!R23&lt;&gt;"",VLOOKUP('Comptage Décadaire'!R23,Utilisateurs!$D:$F,3,FALSE),"")</f>
        <v/>
      </c>
      <c r="R22" s="30" t="str">
        <f>IF('Comptage Décadaire'!S23&lt;&gt;"",VLOOKUP('Comptage Décadaire'!S23,Nomenclature!$N:$O,2,FALSE),"")</f>
        <v/>
      </c>
      <c r="S22" s="30" t="str">
        <f>IF('Comptage Décadaire'!T23&lt;&gt;"",VLOOKUP('Comptage Décadaire'!T23,'Comptage Décadaire'!T:T,1,FALSE),"")</f>
        <v/>
      </c>
      <c r="T22" s="30" t="str">
        <f>IF('Comptage Décadaire'!U23&lt;&gt;"",VLOOKUP('Comptage Décadaire'!U23,'Comptage Décadaire'!U:U,1,FALSE),"")</f>
        <v/>
      </c>
      <c r="U22" s="30" t="str">
        <f>IF('Comptage Décadaire'!V23&lt;&gt;"",VLOOKUP('Comptage Décadaire'!V23,'Comptage Décadaire'!V:V,1,FALSE),"")</f>
        <v/>
      </c>
      <c r="V22" s="30" t="str">
        <f>IF('Comptage Décadaire'!W23&lt;&gt;"",VLOOKUP('Comptage Décadaire'!W23,'Comptage Décadaire'!W:W,1,FALSE),"")</f>
        <v/>
      </c>
      <c r="W22" s="30" t="str">
        <f>IF('Comptage Décadaire'!X23&lt;&gt;"",VLOOKUP('Comptage Décadaire'!X23,'Comptage Décadaire'!X:X,1,FALSE),"")</f>
        <v/>
      </c>
      <c r="X22" s="30" t="str">
        <f>IF('Comptage Décadaire'!Y23&lt;&gt;"",VLOOKUP('Comptage Décadaire'!Y23,'Comptage Décadaire'!Y:Y,1,FALSE),"")</f>
        <v/>
      </c>
      <c r="Y22" s="30" t="str">
        <f>IF('Comptage Décadaire'!Z23&lt;&gt;"",VLOOKUP('Comptage Décadaire'!Z23,Nomenclature!$F$2:$G$7,2,FALSE),"")</f>
        <v/>
      </c>
      <c r="Z22" s="30" t="str">
        <f>IF('Comptage Décadaire'!AA23&lt;&gt;"",VLOOKUP('Comptage Décadaire'!AA23,Nomenclature!$H$2:$I$31,2,FALSE),"")</f>
        <v/>
      </c>
      <c r="AA22" s="30" t="str">
        <f>IF('Comptage Décadaire'!AB23&lt;&gt;"",VLOOKUP('Comptage Décadaire'!AB23,Nomenclature!$J$2:$K$21,2,FALSE),"")</f>
        <v/>
      </c>
      <c r="AB22" s="30" t="str">
        <f>IF('Comptage Décadaire'!AC23&lt;&gt;"",VLOOKUP('Comptage Décadaire'!AC23,'Comptage Décadaire'!AC:AC,1,FALSE),"")</f>
        <v/>
      </c>
      <c r="AC22" s="32" t="str">
        <f>IF('Comptage Décadaire'!AD23&lt;&gt;"",VLOOKUP('Comptage Décadaire'!AD23,Nomenclature!$L$2:$M$8,2,FALSE),"")</f>
        <v/>
      </c>
      <c r="AD22" s="32" t="str">
        <f>IF('Comptage Décadaire'!AE23&lt;&gt;"",VLOOKUP('Comptage Décadaire'!AE23,Utilisateurs!$D$2:$F$81,3,FALSE),"")</f>
        <v/>
      </c>
      <c r="AE22" s="35" t="str">
        <f>IF('Comptage Décadaire'!AF23&lt;&gt;"",VLOOKUP('Comptage Décadaire'!AF23,'Comptage Décadaire'!AF:AF,1,FALSE),"")</f>
        <v/>
      </c>
      <c r="AF22" s="32" t="str">
        <f>IF('Comptage Décadaire'!AG23&lt;&gt;"",VLOOKUP('Comptage Décadaire'!AG23,'Comptage Décadaire'!AG:AG,1,FALSE),"")</f>
        <v/>
      </c>
    </row>
    <row r="23" spans="1:32" x14ac:dyDescent="0.25">
      <c r="A23" s="25" t="str">
        <f>IF('Comptage Décadaire'!A24&lt;&gt;"",VLOOKUP('Comptage Décadaire'!A24,'Comptage Décadaire'!A:A,1,FALSE),"")</f>
        <v/>
      </c>
      <c r="B23" s="27" t="str">
        <f>IF('Comptage Décadaire'!B24&lt;&gt;"",VLOOKUP('Comptage Décadaire'!B24,'Comptage Décadaire'!B:B,1,FALSE),"")</f>
        <v/>
      </c>
      <c r="C23" s="28" t="str">
        <f>IF('Comptage Décadaire'!C24&lt;&gt;"",VLOOKUP('Comptage Décadaire'!C24,'Comptage Décadaire'!C:C,1,FALSE),"")</f>
        <v/>
      </c>
      <c r="D23" s="29" t="str">
        <f>IF('Comptage Décadaire'!D24&lt;&gt;"",VLOOKUP('Comptage Décadaire'!D24,Sites!$A:$B,2,FALSE),"")</f>
        <v/>
      </c>
      <c r="E23" s="29" t="str">
        <f>IF('Comptage Décadaire'!E24&lt;&gt;"",VLOOKUP('Comptage Décadaire'!E24,'Comptage Décadaire'!E:E,1,FALSE),"")</f>
        <v/>
      </c>
      <c r="F23" s="29" t="str">
        <f>IF('Comptage Décadaire'!F24&lt;&gt;"",VLOOKUP('Comptage Décadaire'!F24,Nomenclature!$B$2:$C$4,2,FALSE),"")</f>
        <v/>
      </c>
      <c r="G23" s="29" t="str">
        <f>IF('Comptage Décadaire'!G24&lt;&gt;"",VLOOKUP('Comptage Décadaire'!G24,'Comptage Décadaire'!G:G,1,FALSE),"")</f>
        <v/>
      </c>
      <c r="H23" s="29" t="str">
        <f>IF('Comptage Décadaire'!H24&lt;&gt;"",VLOOKUP('Comptage Décadaire'!H24,Nomenclature!$D$2:$E$7,2,FALSE),"")</f>
        <v/>
      </c>
      <c r="I23" s="30" t="str">
        <f>IF('Comptage Décadaire'!J24&lt;&gt;"",VLOOKUP('Comptage Décadaire'!J24,'Comptage Décadaire'!J:J,1,FALSE),"")</f>
        <v/>
      </c>
      <c r="J23" s="30" t="str">
        <f>IF('Comptage Décadaire'!K24&lt;&gt;"",VLOOKUP('Comptage Décadaire'!K24,'Comptage Décadaire'!K:K,1,FALSE),"")</f>
        <v/>
      </c>
      <c r="K23" s="30" t="str">
        <f>IF('Comptage Décadaire'!L24&lt;&gt;"",VLOOKUP('Comptage Décadaire'!L24,'Comptage Décadaire'!L:L,1,FALSE),"")</f>
        <v/>
      </c>
      <c r="L23" s="31" t="str">
        <f>IF('Comptage Décadaire'!M24&lt;&gt;"",VLOOKUP('Comptage Décadaire'!M24,'Comptage Décadaire'!M:M,1,FALSE),"")</f>
        <v/>
      </c>
      <c r="M23" s="33" t="str">
        <f>IF('Comptage Décadaire'!N24&lt;&gt;"",VLOOKUP('Comptage Décadaire'!N24,Utilisateurs!$D:$F,3,FALSE),"")</f>
        <v/>
      </c>
      <c r="N23" s="33" t="str">
        <f>IF('Comptage Décadaire'!O24&lt;&gt;"",VLOOKUP('Comptage Décadaire'!O24,Utilisateurs!$D:$F,3,FALSE),"")</f>
        <v/>
      </c>
      <c r="O23" s="33" t="str">
        <f>IF('Comptage Décadaire'!P24&lt;&gt;"",VLOOKUP('Comptage Décadaire'!P24,Utilisateurs!$D:$F,3,FALSE),"")</f>
        <v/>
      </c>
      <c r="P23" s="33" t="str">
        <f>IF('Comptage Décadaire'!Q24&lt;&gt;"",VLOOKUP('Comptage Décadaire'!Q24,Utilisateurs!$D:$F,3,FALSE),"")</f>
        <v/>
      </c>
      <c r="Q23" s="33" t="str">
        <f>IF('Comptage Décadaire'!R24&lt;&gt;"",VLOOKUP('Comptage Décadaire'!R24,Utilisateurs!$D:$F,3,FALSE),"")</f>
        <v/>
      </c>
      <c r="R23" s="30" t="str">
        <f>IF('Comptage Décadaire'!S24&lt;&gt;"",VLOOKUP('Comptage Décadaire'!S24,Nomenclature!$N:$O,2,FALSE),"")</f>
        <v/>
      </c>
      <c r="S23" s="30" t="str">
        <f>IF('Comptage Décadaire'!T24&lt;&gt;"",VLOOKUP('Comptage Décadaire'!T24,'Comptage Décadaire'!T:T,1,FALSE),"")</f>
        <v/>
      </c>
      <c r="T23" s="30" t="str">
        <f>IF('Comptage Décadaire'!U24&lt;&gt;"",VLOOKUP('Comptage Décadaire'!U24,'Comptage Décadaire'!U:U,1,FALSE),"")</f>
        <v/>
      </c>
      <c r="U23" s="30" t="str">
        <f>IF('Comptage Décadaire'!V24&lt;&gt;"",VLOOKUP('Comptage Décadaire'!V24,'Comptage Décadaire'!V:V,1,FALSE),"")</f>
        <v/>
      </c>
      <c r="V23" s="30" t="str">
        <f>IF('Comptage Décadaire'!W24&lt;&gt;"",VLOOKUP('Comptage Décadaire'!W24,'Comptage Décadaire'!W:W,1,FALSE),"")</f>
        <v/>
      </c>
      <c r="W23" s="30" t="str">
        <f>IF('Comptage Décadaire'!X24&lt;&gt;"",VLOOKUP('Comptage Décadaire'!X24,'Comptage Décadaire'!X:X,1,FALSE),"")</f>
        <v/>
      </c>
      <c r="X23" s="30" t="str">
        <f>IF('Comptage Décadaire'!Y24&lt;&gt;"",VLOOKUP('Comptage Décadaire'!Y24,'Comptage Décadaire'!Y:Y,1,FALSE),"")</f>
        <v/>
      </c>
      <c r="Y23" s="30" t="str">
        <f>IF('Comptage Décadaire'!Z24&lt;&gt;"",VLOOKUP('Comptage Décadaire'!Z24,Nomenclature!$F$2:$G$7,2,FALSE),"")</f>
        <v/>
      </c>
      <c r="Z23" s="30" t="str">
        <f>IF('Comptage Décadaire'!AA24&lt;&gt;"",VLOOKUP('Comptage Décadaire'!AA24,Nomenclature!$H$2:$I$31,2,FALSE),"")</f>
        <v/>
      </c>
      <c r="AA23" s="30" t="str">
        <f>IF('Comptage Décadaire'!AB24&lt;&gt;"",VLOOKUP('Comptage Décadaire'!AB24,Nomenclature!$J$2:$K$21,2,FALSE),"")</f>
        <v/>
      </c>
      <c r="AB23" s="30" t="str">
        <f>IF('Comptage Décadaire'!AC24&lt;&gt;"",VLOOKUP('Comptage Décadaire'!AC24,'Comptage Décadaire'!AC:AC,1,FALSE),"")</f>
        <v/>
      </c>
      <c r="AC23" s="32" t="str">
        <f>IF('Comptage Décadaire'!AD24&lt;&gt;"",VLOOKUP('Comptage Décadaire'!AD24,Nomenclature!$L$2:$M$8,2,FALSE),"")</f>
        <v/>
      </c>
      <c r="AD23" s="32" t="str">
        <f>IF('Comptage Décadaire'!AE24&lt;&gt;"",VLOOKUP('Comptage Décadaire'!AE24,Utilisateurs!$D$2:$F$81,3,FALSE),"")</f>
        <v/>
      </c>
      <c r="AE23" s="35" t="str">
        <f>IF('Comptage Décadaire'!AF24&lt;&gt;"",VLOOKUP('Comptage Décadaire'!AF24,'Comptage Décadaire'!AF:AF,1,FALSE),"")</f>
        <v/>
      </c>
      <c r="AF23" s="32" t="str">
        <f>IF('Comptage Décadaire'!AG24&lt;&gt;"",VLOOKUP('Comptage Décadaire'!AG24,'Comptage Décadaire'!AG:AG,1,FALSE),"")</f>
        <v/>
      </c>
    </row>
    <row r="24" spans="1:32" x14ac:dyDescent="0.25">
      <c r="A24" s="25" t="str">
        <f>IF('Comptage Décadaire'!A25&lt;&gt;"",VLOOKUP('Comptage Décadaire'!A25,'Comptage Décadaire'!A:A,1,FALSE),"")</f>
        <v/>
      </c>
      <c r="B24" s="27" t="str">
        <f>IF('Comptage Décadaire'!B25&lt;&gt;"",VLOOKUP('Comptage Décadaire'!B25,'Comptage Décadaire'!B:B,1,FALSE),"")</f>
        <v/>
      </c>
      <c r="C24" s="28" t="str">
        <f>IF('Comptage Décadaire'!C25&lt;&gt;"",VLOOKUP('Comptage Décadaire'!C25,'Comptage Décadaire'!C:C,1,FALSE),"")</f>
        <v/>
      </c>
      <c r="D24" s="29" t="str">
        <f>IF('Comptage Décadaire'!D25&lt;&gt;"",VLOOKUP('Comptage Décadaire'!D25,Sites!$A:$B,2,FALSE),"")</f>
        <v/>
      </c>
      <c r="E24" s="29" t="str">
        <f>IF('Comptage Décadaire'!E25&lt;&gt;"",VLOOKUP('Comptage Décadaire'!E25,'Comptage Décadaire'!E:E,1,FALSE),"")</f>
        <v/>
      </c>
      <c r="F24" s="29" t="str">
        <f>IF('Comptage Décadaire'!F25&lt;&gt;"",VLOOKUP('Comptage Décadaire'!F25,Nomenclature!$B$2:$C$4,2,FALSE),"")</f>
        <v/>
      </c>
      <c r="G24" s="29" t="str">
        <f>IF('Comptage Décadaire'!G25&lt;&gt;"",VLOOKUP('Comptage Décadaire'!G25,'Comptage Décadaire'!G:G,1,FALSE),"")</f>
        <v/>
      </c>
      <c r="H24" s="29" t="str">
        <f>IF('Comptage Décadaire'!H25&lt;&gt;"",VLOOKUP('Comptage Décadaire'!H25,Nomenclature!$D$2:$E$7,2,FALSE),"")</f>
        <v/>
      </c>
      <c r="I24" s="30" t="str">
        <f>IF('Comptage Décadaire'!J25&lt;&gt;"",VLOOKUP('Comptage Décadaire'!J25,'Comptage Décadaire'!J:J,1,FALSE),"")</f>
        <v/>
      </c>
      <c r="J24" s="30" t="str">
        <f>IF('Comptage Décadaire'!K25&lt;&gt;"",VLOOKUP('Comptage Décadaire'!K25,'Comptage Décadaire'!K:K,1,FALSE),"")</f>
        <v/>
      </c>
      <c r="K24" s="30" t="str">
        <f>IF('Comptage Décadaire'!L25&lt;&gt;"",VLOOKUP('Comptage Décadaire'!L25,'Comptage Décadaire'!L:L,1,FALSE),"")</f>
        <v/>
      </c>
      <c r="L24" s="31" t="str">
        <f>IF('Comptage Décadaire'!M25&lt;&gt;"",VLOOKUP('Comptage Décadaire'!M25,'Comptage Décadaire'!M:M,1,FALSE),"")</f>
        <v/>
      </c>
      <c r="M24" s="33" t="str">
        <f>IF('Comptage Décadaire'!N25&lt;&gt;"",VLOOKUP('Comptage Décadaire'!N25,Utilisateurs!$D:$F,3,FALSE),"")</f>
        <v/>
      </c>
      <c r="N24" s="33" t="str">
        <f>IF('Comptage Décadaire'!O25&lt;&gt;"",VLOOKUP('Comptage Décadaire'!O25,Utilisateurs!$D:$F,3,FALSE),"")</f>
        <v/>
      </c>
      <c r="O24" s="33" t="str">
        <f>IF('Comptage Décadaire'!P25&lt;&gt;"",VLOOKUP('Comptage Décadaire'!P25,Utilisateurs!$D:$F,3,FALSE),"")</f>
        <v/>
      </c>
      <c r="P24" s="33" t="str">
        <f>IF('Comptage Décadaire'!Q25&lt;&gt;"",VLOOKUP('Comptage Décadaire'!Q25,Utilisateurs!$D:$F,3,FALSE),"")</f>
        <v/>
      </c>
      <c r="Q24" s="33" t="str">
        <f>IF('Comptage Décadaire'!R25&lt;&gt;"",VLOOKUP('Comptage Décadaire'!R25,Utilisateurs!$D:$F,3,FALSE),"")</f>
        <v/>
      </c>
      <c r="R24" s="30" t="str">
        <f>IF('Comptage Décadaire'!S25&lt;&gt;"",VLOOKUP('Comptage Décadaire'!S25,Nomenclature!$N:$O,2,FALSE),"")</f>
        <v/>
      </c>
      <c r="S24" s="30" t="str">
        <f>IF('Comptage Décadaire'!T25&lt;&gt;"",VLOOKUP('Comptage Décadaire'!T25,'Comptage Décadaire'!T:T,1,FALSE),"")</f>
        <v/>
      </c>
      <c r="T24" s="30" t="str">
        <f>IF('Comptage Décadaire'!U25&lt;&gt;"",VLOOKUP('Comptage Décadaire'!U25,'Comptage Décadaire'!U:U,1,FALSE),"")</f>
        <v/>
      </c>
      <c r="U24" s="30" t="str">
        <f>IF('Comptage Décadaire'!V25&lt;&gt;"",VLOOKUP('Comptage Décadaire'!V25,'Comptage Décadaire'!V:V,1,FALSE),"")</f>
        <v/>
      </c>
      <c r="V24" s="30" t="str">
        <f>IF('Comptage Décadaire'!W25&lt;&gt;"",VLOOKUP('Comptage Décadaire'!W25,'Comptage Décadaire'!W:W,1,FALSE),"")</f>
        <v/>
      </c>
      <c r="W24" s="30" t="str">
        <f>IF('Comptage Décadaire'!X25&lt;&gt;"",VLOOKUP('Comptage Décadaire'!X25,'Comptage Décadaire'!X:X,1,FALSE),"")</f>
        <v/>
      </c>
      <c r="X24" s="30" t="str">
        <f>IF('Comptage Décadaire'!Y25&lt;&gt;"",VLOOKUP('Comptage Décadaire'!Y25,'Comptage Décadaire'!Y:Y,1,FALSE),"")</f>
        <v/>
      </c>
      <c r="Y24" s="30" t="str">
        <f>IF('Comptage Décadaire'!Z25&lt;&gt;"",VLOOKUP('Comptage Décadaire'!Z25,Nomenclature!$F$2:$G$7,2,FALSE),"")</f>
        <v/>
      </c>
      <c r="Z24" s="30" t="str">
        <f>IF('Comptage Décadaire'!AA25&lt;&gt;"",VLOOKUP('Comptage Décadaire'!AA25,Nomenclature!$H$2:$I$31,2,FALSE),"")</f>
        <v/>
      </c>
      <c r="AA24" s="30" t="str">
        <f>IF('Comptage Décadaire'!AB25&lt;&gt;"",VLOOKUP('Comptage Décadaire'!AB25,Nomenclature!$J$2:$K$21,2,FALSE),"")</f>
        <v/>
      </c>
      <c r="AB24" s="30" t="str">
        <f>IF('Comptage Décadaire'!AC25&lt;&gt;"",VLOOKUP('Comptage Décadaire'!AC25,'Comptage Décadaire'!AC:AC,1,FALSE),"")</f>
        <v/>
      </c>
      <c r="AC24" s="32" t="str">
        <f>IF('Comptage Décadaire'!AD25&lt;&gt;"",VLOOKUP('Comptage Décadaire'!AD25,Nomenclature!$L$2:$M$8,2,FALSE),"")</f>
        <v/>
      </c>
      <c r="AD24" s="32" t="str">
        <f>IF('Comptage Décadaire'!AE25&lt;&gt;"",VLOOKUP('Comptage Décadaire'!AE25,Utilisateurs!$D$2:$F$81,3,FALSE),"")</f>
        <v/>
      </c>
      <c r="AE24" s="35" t="str">
        <f>IF('Comptage Décadaire'!AF25&lt;&gt;"",VLOOKUP('Comptage Décadaire'!AF25,'Comptage Décadaire'!AF:AF,1,FALSE),"")</f>
        <v/>
      </c>
      <c r="AF24" s="32" t="str">
        <f>IF('Comptage Décadaire'!AG25&lt;&gt;"",VLOOKUP('Comptage Décadaire'!AG25,'Comptage Décadaire'!AG:AG,1,FALSE),"")</f>
        <v/>
      </c>
    </row>
    <row r="25" spans="1:32" x14ac:dyDescent="0.25">
      <c r="A25" s="25" t="str">
        <f>IF('Comptage Décadaire'!A26&lt;&gt;"",VLOOKUP('Comptage Décadaire'!A26,'Comptage Décadaire'!A:A,1,FALSE),"")</f>
        <v/>
      </c>
      <c r="B25" s="27" t="str">
        <f>IF('Comptage Décadaire'!B26&lt;&gt;"",VLOOKUP('Comptage Décadaire'!B26,'Comptage Décadaire'!B:B,1,FALSE),"")</f>
        <v/>
      </c>
      <c r="C25" s="28" t="str">
        <f>IF('Comptage Décadaire'!C26&lt;&gt;"",VLOOKUP('Comptage Décadaire'!C26,'Comptage Décadaire'!C:C,1,FALSE),"")</f>
        <v/>
      </c>
      <c r="D25" s="29" t="str">
        <f>IF('Comptage Décadaire'!D26&lt;&gt;"",VLOOKUP('Comptage Décadaire'!D26,Sites!$A:$B,2,FALSE),"")</f>
        <v/>
      </c>
      <c r="E25" s="29" t="str">
        <f>IF('Comptage Décadaire'!E26&lt;&gt;"",VLOOKUP('Comptage Décadaire'!E26,'Comptage Décadaire'!E:E,1,FALSE),"")</f>
        <v/>
      </c>
      <c r="F25" s="29" t="str">
        <f>IF('Comptage Décadaire'!F26&lt;&gt;"",VLOOKUP('Comptage Décadaire'!F26,Nomenclature!$B$2:$C$4,2,FALSE),"")</f>
        <v/>
      </c>
      <c r="G25" s="29" t="str">
        <f>IF('Comptage Décadaire'!G26&lt;&gt;"",VLOOKUP('Comptage Décadaire'!G26,'Comptage Décadaire'!G:G,1,FALSE),"")</f>
        <v/>
      </c>
      <c r="H25" s="29" t="str">
        <f>IF('Comptage Décadaire'!H26&lt;&gt;"",VLOOKUP('Comptage Décadaire'!H26,Nomenclature!$D$2:$E$7,2,FALSE),"")</f>
        <v/>
      </c>
      <c r="I25" s="30" t="str">
        <f>IF('Comptage Décadaire'!J26&lt;&gt;"",VLOOKUP('Comptage Décadaire'!J26,'Comptage Décadaire'!J:J,1,FALSE),"")</f>
        <v/>
      </c>
      <c r="J25" s="30" t="str">
        <f>IF('Comptage Décadaire'!K26&lt;&gt;"",VLOOKUP('Comptage Décadaire'!K26,'Comptage Décadaire'!K:K,1,FALSE),"")</f>
        <v/>
      </c>
      <c r="K25" s="30" t="str">
        <f>IF('Comptage Décadaire'!L26&lt;&gt;"",VLOOKUP('Comptage Décadaire'!L26,'Comptage Décadaire'!L:L,1,FALSE),"")</f>
        <v/>
      </c>
      <c r="L25" s="31" t="str">
        <f>IF('Comptage Décadaire'!M26&lt;&gt;"",VLOOKUP('Comptage Décadaire'!M26,'Comptage Décadaire'!M:M,1,FALSE),"")</f>
        <v/>
      </c>
      <c r="M25" s="33" t="str">
        <f>IF('Comptage Décadaire'!N26&lt;&gt;"",VLOOKUP('Comptage Décadaire'!N26,Utilisateurs!$D:$F,3,FALSE),"")</f>
        <v/>
      </c>
      <c r="N25" s="33" t="str">
        <f>IF('Comptage Décadaire'!O26&lt;&gt;"",VLOOKUP('Comptage Décadaire'!O26,Utilisateurs!$D:$F,3,FALSE),"")</f>
        <v/>
      </c>
      <c r="O25" s="33" t="str">
        <f>IF('Comptage Décadaire'!P26&lt;&gt;"",VLOOKUP('Comptage Décadaire'!P26,Utilisateurs!$D:$F,3,FALSE),"")</f>
        <v/>
      </c>
      <c r="P25" s="33" t="str">
        <f>IF('Comptage Décadaire'!Q26&lt;&gt;"",VLOOKUP('Comptage Décadaire'!Q26,Utilisateurs!$D:$F,3,FALSE),"")</f>
        <v/>
      </c>
      <c r="Q25" s="33" t="str">
        <f>IF('Comptage Décadaire'!R26&lt;&gt;"",VLOOKUP('Comptage Décadaire'!R26,Utilisateurs!$D:$F,3,FALSE),"")</f>
        <v/>
      </c>
      <c r="R25" s="30" t="str">
        <f>IF('Comptage Décadaire'!S26&lt;&gt;"",VLOOKUP('Comptage Décadaire'!S26,Nomenclature!$N:$O,2,FALSE),"")</f>
        <v/>
      </c>
      <c r="S25" s="30" t="str">
        <f>IF('Comptage Décadaire'!T26&lt;&gt;"",VLOOKUP('Comptage Décadaire'!T26,'Comptage Décadaire'!T:T,1,FALSE),"")</f>
        <v/>
      </c>
      <c r="T25" s="30" t="str">
        <f>IF('Comptage Décadaire'!U26&lt;&gt;"",VLOOKUP('Comptage Décadaire'!U26,'Comptage Décadaire'!U:U,1,FALSE),"")</f>
        <v/>
      </c>
      <c r="U25" s="30" t="str">
        <f>IF('Comptage Décadaire'!V26&lt;&gt;"",VLOOKUP('Comptage Décadaire'!V26,'Comptage Décadaire'!V:V,1,FALSE),"")</f>
        <v/>
      </c>
      <c r="V25" s="30" t="str">
        <f>IF('Comptage Décadaire'!W26&lt;&gt;"",VLOOKUP('Comptage Décadaire'!W26,'Comptage Décadaire'!W:W,1,FALSE),"")</f>
        <v/>
      </c>
      <c r="W25" s="30" t="str">
        <f>IF('Comptage Décadaire'!X26&lt;&gt;"",VLOOKUP('Comptage Décadaire'!X26,'Comptage Décadaire'!X:X,1,FALSE),"")</f>
        <v/>
      </c>
      <c r="X25" s="30" t="str">
        <f>IF('Comptage Décadaire'!Y26&lt;&gt;"",VLOOKUP('Comptage Décadaire'!Y26,'Comptage Décadaire'!Y:Y,1,FALSE),"")</f>
        <v/>
      </c>
      <c r="Y25" s="30" t="str">
        <f>IF('Comptage Décadaire'!Z26&lt;&gt;"",VLOOKUP('Comptage Décadaire'!Z26,Nomenclature!$F$2:$G$7,2,FALSE),"")</f>
        <v/>
      </c>
      <c r="Z25" s="30" t="str">
        <f>IF('Comptage Décadaire'!AA26&lt;&gt;"",VLOOKUP('Comptage Décadaire'!AA26,Nomenclature!$H$2:$I$31,2,FALSE),"")</f>
        <v/>
      </c>
      <c r="AA25" s="30" t="str">
        <f>IF('Comptage Décadaire'!AB26&lt;&gt;"",VLOOKUP('Comptage Décadaire'!AB26,Nomenclature!$J$2:$K$21,2,FALSE),"")</f>
        <v/>
      </c>
      <c r="AB25" s="30" t="str">
        <f>IF('Comptage Décadaire'!AC26&lt;&gt;"",VLOOKUP('Comptage Décadaire'!AC26,'Comptage Décadaire'!AC:AC,1,FALSE),"")</f>
        <v/>
      </c>
      <c r="AC25" s="32" t="str">
        <f>IF('Comptage Décadaire'!AD26&lt;&gt;"",VLOOKUP('Comptage Décadaire'!AD26,Nomenclature!$L$2:$M$8,2,FALSE),"")</f>
        <v/>
      </c>
      <c r="AD25" s="32" t="str">
        <f>IF('Comptage Décadaire'!AE26&lt;&gt;"",VLOOKUP('Comptage Décadaire'!AE26,Utilisateurs!$D$2:$F$81,3,FALSE),"")</f>
        <v/>
      </c>
      <c r="AE25" s="35" t="str">
        <f>IF('Comptage Décadaire'!AF26&lt;&gt;"",VLOOKUP('Comptage Décadaire'!AF26,'Comptage Décadaire'!AF:AF,1,FALSE),"")</f>
        <v/>
      </c>
      <c r="AF25" s="32" t="str">
        <f>IF('Comptage Décadaire'!AG26&lt;&gt;"",VLOOKUP('Comptage Décadaire'!AG26,'Comptage Décadaire'!AG:AG,1,FALSE),"")</f>
        <v/>
      </c>
    </row>
    <row r="26" spans="1:32" x14ac:dyDescent="0.25">
      <c r="A26" s="25" t="str">
        <f>IF('Comptage Décadaire'!A27&lt;&gt;"",VLOOKUP('Comptage Décadaire'!A27,'Comptage Décadaire'!A:A,1,FALSE),"")</f>
        <v/>
      </c>
      <c r="B26" s="27" t="str">
        <f>IF('Comptage Décadaire'!B27&lt;&gt;"",VLOOKUP('Comptage Décadaire'!B27,'Comptage Décadaire'!B:B,1,FALSE),"")</f>
        <v/>
      </c>
      <c r="C26" s="28" t="str">
        <f>IF('Comptage Décadaire'!C27&lt;&gt;"",VLOOKUP('Comptage Décadaire'!C27,'Comptage Décadaire'!C:C,1,FALSE),"")</f>
        <v/>
      </c>
      <c r="D26" s="29" t="str">
        <f>IF('Comptage Décadaire'!D27&lt;&gt;"",VLOOKUP('Comptage Décadaire'!D27,Sites!$A:$B,2,FALSE),"")</f>
        <v/>
      </c>
      <c r="E26" s="29" t="str">
        <f>IF('Comptage Décadaire'!E27&lt;&gt;"",VLOOKUP('Comptage Décadaire'!E27,'Comptage Décadaire'!E:E,1,FALSE),"")</f>
        <v/>
      </c>
      <c r="F26" s="29" t="str">
        <f>IF('Comptage Décadaire'!F27&lt;&gt;"",VLOOKUP('Comptage Décadaire'!F27,Nomenclature!$B$2:$C$4,2,FALSE),"")</f>
        <v/>
      </c>
      <c r="G26" s="29" t="str">
        <f>IF('Comptage Décadaire'!G27&lt;&gt;"",VLOOKUP('Comptage Décadaire'!G27,'Comptage Décadaire'!G:G,1,FALSE),"")</f>
        <v/>
      </c>
      <c r="H26" s="29" t="str">
        <f>IF('Comptage Décadaire'!H27&lt;&gt;"",VLOOKUP('Comptage Décadaire'!H27,Nomenclature!$D$2:$E$7,2,FALSE),"")</f>
        <v/>
      </c>
      <c r="I26" s="30" t="str">
        <f>IF('Comptage Décadaire'!J27&lt;&gt;"",VLOOKUP('Comptage Décadaire'!J27,'Comptage Décadaire'!J:J,1,FALSE),"")</f>
        <v/>
      </c>
      <c r="J26" s="30" t="str">
        <f>IF('Comptage Décadaire'!K27&lt;&gt;"",VLOOKUP('Comptage Décadaire'!K27,'Comptage Décadaire'!K:K,1,FALSE),"")</f>
        <v/>
      </c>
      <c r="K26" s="30" t="str">
        <f>IF('Comptage Décadaire'!L27&lt;&gt;"",VLOOKUP('Comptage Décadaire'!L27,'Comptage Décadaire'!L:L,1,FALSE),"")</f>
        <v/>
      </c>
      <c r="L26" s="31" t="str">
        <f>IF('Comptage Décadaire'!M27&lt;&gt;"",VLOOKUP('Comptage Décadaire'!M27,'Comptage Décadaire'!M:M,1,FALSE),"")</f>
        <v/>
      </c>
      <c r="M26" s="33" t="str">
        <f>IF('Comptage Décadaire'!N27&lt;&gt;"",VLOOKUP('Comptage Décadaire'!N27,Utilisateurs!$D:$F,3,FALSE),"")</f>
        <v/>
      </c>
      <c r="N26" s="33" t="str">
        <f>IF('Comptage Décadaire'!O27&lt;&gt;"",VLOOKUP('Comptage Décadaire'!O27,Utilisateurs!$D:$F,3,FALSE),"")</f>
        <v/>
      </c>
      <c r="O26" s="33" t="str">
        <f>IF('Comptage Décadaire'!P27&lt;&gt;"",VLOOKUP('Comptage Décadaire'!P27,Utilisateurs!$D:$F,3,FALSE),"")</f>
        <v/>
      </c>
      <c r="P26" s="33" t="str">
        <f>IF('Comptage Décadaire'!Q27&lt;&gt;"",VLOOKUP('Comptage Décadaire'!Q27,Utilisateurs!$D:$F,3,FALSE),"")</f>
        <v/>
      </c>
      <c r="Q26" s="33" t="str">
        <f>IF('Comptage Décadaire'!R27&lt;&gt;"",VLOOKUP('Comptage Décadaire'!R27,Utilisateurs!$D:$F,3,FALSE),"")</f>
        <v/>
      </c>
      <c r="R26" s="30" t="str">
        <f>IF('Comptage Décadaire'!S27&lt;&gt;"",VLOOKUP('Comptage Décadaire'!S27,Nomenclature!$N:$O,2,FALSE),"")</f>
        <v/>
      </c>
      <c r="S26" s="30" t="str">
        <f>IF('Comptage Décadaire'!T27&lt;&gt;"",VLOOKUP('Comptage Décadaire'!T27,'Comptage Décadaire'!T:T,1,FALSE),"")</f>
        <v/>
      </c>
      <c r="T26" s="30" t="str">
        <f>IF('Comptage Décadaire'!U27&lt;&gt;"",VLOOKUP('Comptage Décadaire'!U27,'Comptage Décadaire'!U:U,1,FALSE),"")</f>
        <v/>
      </c>
      <c r="U26" s="30" t="str">
        <f>IF('Comptage Décadaire'!V27&lt;&gt;"",VLOOKUP('Comptage Décadaire'!V27,'Comptage Décadaire'!V:V,1,FALSE),"")</f>
        <v/>
      </c>
      <c r="V26" s="30" t="str">
        <f>IF('Comptage Décadaire'!W27&lt;&gt;"",VLOOKUP('Comptage Décadaire'!W27,'Comptage Décadaire'!W:W,1,FALSE),"")</f>
        <v/>
      </c>
      <c r="W26" s="30" t="str">
        <f>IF('Comptage Décadaire'!X27&lt;&gt;"",VLOOKUP('Comptage Décadaire'!X27,'Comptage Décadaire'!X:X,1,FALSE),"")</f>
        <v/>
      </c>
      <c r="X26" s="30" t="str">
        <f>IF('Comptage Décadaire'!Y27&lt;&gt;"",VLOOKUP('Comptage Décadaire'!Y27,'Comptage Décadaire'!Y:Y,1,FALSE),"")</f>
        <v/>
      </c>
      <c r="Y26" s="30" t="str">
        <f>IF('Comptage Décadaire'!Z27&lt;&gt;"",VLOOKUP('Comptage Décadaire'!Z27,Nomenclature!$F$2:$G$7,2,FALSE),"")</f>
        <v/>
      </c>
      <c r="Z26" s="30" t="str">
        <f>IF('Comptage Décadaire'!AA27&lt;&gt;"",VLOOKUP('Comptage Décadaire'!AA27,Nomenclature!$H$2:$I$31,2,FALSE),"")</f>
        <v/>
      </c>
      <c r="AA26" s="30" t="str">
        <f>IF('Comptage Décadaire'!AB27&lt;&gt;"",VLOOKUP('Comptage Décadaire'!AB27,Nomenclature!$J$2:$K$21,2,FALSE),"")</f>
        <v/>
      </c>
      <c r="AB26" s="30" t="str">
        <f>IF('Comptage Décadaire'!AC27&lt;&gt;"",VLOOKUP('Comptage Décadaire'!AC27,'Comptage Décadaire'!AC:AC,1,FALSE),"")</f>
        <v/>
      </c>
      <c r="AC26" s="32" t="str">
        <f>IF('Comptage Décadaire'!AD27&lt;&gt;"",VLOOKUP('Comptage Décadaire'!AD27,Nomenclature!$L$2:$M$8,2,FALSE),"")</f>
        <v/>
      </c>
      <c r="AD26" s="32" t="str">
        <f>IF('Comptage Décadaire'!AE27&lt;&gt;"",VLOOKUP('Comptage Décadaire'!AE27,Utilisateurs!$D$2:$F$81,3,FALSE),"")</f>
        <v/>
      </c>
      <c r="AE26" s="35" t="str">
        <f>IF('Comptage Décadaire'!AF27&lt;&gt;"",VLOOKUP('Comptage Décadaire'!AF27,'Comptage Décadaire'!AF:AF,1,FALSE),"")</f>
        <v/>
      </c>
      <c r="AF26" s="32" t="str">
        <f>IF('Comptage Décadaire'!AG27&lt;&gt;"",VLOOKUP('Comptage Décadaire'!AG27,'Comptage Décadaire'!AG:AG,1,FALSE),"")</f>
        <v/>
      </c>
    </row>
    <row r="27" spans="1:32" x14ac:dyDescent="0.25">
      <c r="A27" s="25" t="str">
        <f>IF('Comptage Décadaire'!A28&lt;&gt;"",VLOOKUP('Comptage Décadaire'!A28,'Comptage Décadaire'!A:A,1,FALSE),"")</f>
        <v/>
      </c>
      <c r="B27" s="27" t="str">
        <f>IF('Comptage Décadaire'!B28&lt;&gt;"",VLOOKUP('Comptage Décadaire'!B28,'Comptage Décadaire'!B:B,1,FALSE),"")</f>
        <v/>
      </c>
      <c r="C27" s="28" t="str">
        <f>IF('Comptage Décadaire'!C28&lt;&gt;"",VLOOKUP('Comptage Décadaire'!C28,'Comptage Décadaire'!C:C,1,FALSE),"")</f>
        <v/>
      </c>
      <c r="D27" s="29" t="str">
        <f>IF('Comptage Décadaire'!D28&lt;&gt;"",VLOOKUP('Comptage Décadaire'!D28,Sites!$A:$B,2,FALSE),"")</f>
        <v/>
      </c>
      <c r="E27" s="29" t="str">
        <f>IF('Comptage Décadaire'!E28&lt;&gt;"",VLOOKUP('Comptage Décadaire'!E28,'Comptage Décadaire'!E:E,1,FALSE),"")</f>
        <v/>
      </c>
      <c r="F27" s="29" t="str">
        <f>IF('Comptage Décadaire'!F28&lt;&gt;"",VLOOKUP('Comptage Décadaire'!F28,Nomenclature!$B$2:$C$4,2,FALSE),"")</f>
        <v/>
      </c>
      <c r="G27" s="29" t="str">
        <f>IF('Comptage Décadaire'!G28&lt;&gt;"",VLOOKUP('Comptage Décadaire'!G28,'Comptage Décadaire'!G:G,1,FALSE),"")</f>
        <v/>
      </c>
      <c r="H27" s="29" t="str">
        <f>IF('Comptage Décadaire'!H28&lt;&gt;"",VLOOKUP('Comptage Décadaire'!H28,Nomenclature!$D$2:$E$7,2,FALSE),"")</f>
        <v/>
      </c>
      <c r="I27" s="30" t="str">
        <f>IF('Comptage Décadaire'!J28&lt;&gt;"",VLOOKUP('Comptage Décadaire'!J28,'Comptage Décadaire'!J:J,1,FALSE),"")</f>
        <v/>
      </c>
      <c r="J27" s="30" t="str">
        <f>IF('Comptage Décadaire'!K28&lt;&gt;"",VLOOKUP('Comptage Décadaire'!K28,'Comptage Décadaire'!K:K,1,FALSE),"")</f>
        <v/>
      </c>
      <c r="K27" s="30" t="str">
        <f>IF('Comptage Décadaire'!L28&lt;&gt;"",VLOOKUP('Comptage Décadaire'!L28,'Comptage Décadaire'!L:L,1,FALSE),"")</f>
        <v/>
      </c>
      <c r="L27" s="31" t="str">
        <f>IF('Comptage Décadaire'!M28&lt;&gt;"",VLOOKUP('Comptage Décadaire'!M28,'Comptage Décadaire'!M:M,1,FALSE),"")</f>
        <v/>
      </c>
      <c r="M27" s="33" t="str">
        <f>IF('Comptage Décadaire'!N28&lt;&gt;"",VLOOKUP('Comptage Décadaire'!N28,Utilisateurs!$D:$F,3,FALSE),"")</f>
        <v/>
      </c>
      <c r="N27" s="33" t="str">
        <f>IF('Comptage Décadaire'!O28&lt;&gt;"",VLOOKUP('Comptage Décadaire'!O28,Utilisateurs!$D:$F,3,FALSE),"")</f>
        <v/>
      </c>
      <c r="O27" s="33" t="str">
        <f>IF('Comptage Décadaire'!P28&lt;&gt;"",VLOOKUP('Comptage Décadaire'!P28,Utilisateurs!$D:$F,3,FALSE),"")</f>
        <v/>
      </c>
      <c r="P27" s="33" t="str">
        <f>IF('Comptage Décadaire'!Q28&lt;&gt;"",VLOOKUP('Comptage Décadaire'!Q28,Utilisateurs!$D:$F,3,FALSE),"")</f>
        <v/>
      </c>
      <c r="Q27" s="33" t="str">
        <f>IF('Comptage Décadaire'!R28&lt;&gt;"",VLOOKUP('Comptage Décadaire'!R28,Utilisateurs!$D:$F,3,FALSE),"")</f>
        <v/>
      </c>
      <c r="R27" s="30" t="str">
        <f>IF('Comptage Décadaire'!S28&lt;&gt;"",VLOOKUP('Comptage Décadaire'!S28,Nomenclature!$N:$O,2,FALSE),"")</f>
        <v/>
      </c>
      <c r="S27" s="30" t="str">
        <f>IF('Comptage Décadaire'!T28&lt;&gt;"",VLOOKUP('Comptage Décadaire'!T28,'Comptage Décadaire'!T:T,1,FALSE),"")</f>
        <v/>
      </c>
      <c r="T27" s="30" t="str">
        <f>IF('Comptage Décadaire'!U28&lt;&gt;"",VLOOKUP('Comptage Décadaire'!U28,'Comptage Décadaire'!U:U,1,FALSE),"")</f>
        <v/>
      </c>
      <c r="U27" s="30" t="str">
        <f>IF('Comptage Décadaire'!V28&lt;&gt;"",VLOOKUP('Comptage Décadaire'!V28,'Comptage Décadaire'!V:V,1,FALSE),"")</f>
        <v/>
      </c>
      <c r="V27" s="30" t="str">
        <f>IF('Comptage Décadaire'!W28&lt;&gt;"",VLOOKUP('Comptage Décadaire'!W28,'Comptage Décadaire'!W:W,1,FALSE),"")</f>
        <v/>
      </c>
      <c r="W27" s="30" t="str">
        <f>IF('Comptage Décadaire'!X28&lt;&gt;"",VLOOKUP('Comptage Décadaire'!X28,'Comptage Décadaire'!X:X,1,FALSE),"")</f>
        <v/>
      </c>
      <c r="X27" s="30" t="str">
        <f>IF('Comptage Décadaire'!Y28&lt;&gt;"",VLOOKUP('Comptage Décadaire'!Y28,'Comptage Décadaire'!Y:Y,1,FALSE),"")</f>
        <v/>
      </c>
      <c r="Y27" s="30" t="str">
        <f>IF('Comptage Décadaire'!Z28&lt;&gt;"",VLOOKUP('Comptage Décadaire'!Z28,Nomenclature!$F$2:$G$7,2,FALSE),"")</f>
        <v/>
      </c>
      <c r="Z27" s="30" t="str">
        <f>IF('Comptage Décadaire'!AA28&lt;&gt;"",VLOOKUP('Comptage Décadaire'!AA28,Nomenclature!$H$2:$I$31,2,FALSE),"")</f>
        <v/>
      </c>
      <c r="AA27" s="30" t="str">
        <f>IF('Comptage Décadaire'!AB28&lt;&gt;"",VLOOKUP('Comptage Décadaire'!AB28,Nomenclature!$J$2:$K$21,2,FALSE),"")</f>
        <v/>
      </c>
      <c r="AB27" s="30" t="str">
        <f>IF('Comptage Décadaire'!AC28&lt;&gt;"",VLOOKUP('Comptage Décadaire'!AC28,'Comptage Décadaire'!AC:AC,1,FALSE),"")</f>
        <v/>
      </c>
      <c r="AC27" s="32" t="str">
        <f>IF('Comptage Décadaire'!AD28&lt;&gt;"",VLOOKUP('Comptage Décadaire'!AD28,Nomenclature!$L$2:$M$8,2,FALSE),"")</f>
        <v/>
      </c>
      <c r="AD27" s="32" t="str">
        <f>IF('Comptage Décadaire'!AE28&lt;&gt;"",VLOOKUP('Comptage Décadaire'!AE28,Utilisateurs!$D$2:$F$81,3,FALSE),"")</f>
        <v/>
      </c>
      <c r="AE27" s="35" t="str">
        <f>IF('Comptage Décadaire'!AF28&lt;&gt;"",VLOOKUP('Comptage Décadaire'!AF28,'Comptage Décadaire'!AF:AF,1,FALSE),"")</f>
        <v/>
      </c>
      <c r="AF27" s="32" t="str">
        <f>IF('Comptage Décadaire'!AG28&lt;&gt;"",VLOOKUP('Comptage Décadaire'!AG28,'Comptage Décadaire'!AG:AG,1,FALSE),"")</f>
        <v/>
      </c>
    </row>
    <row r="28" spans="1:32" x14ac:dyDescent="0.25">
      <c r="A28" s="25" t="str">
        <f>IF('Comptage Décadaire'!A29&lt;&gt;"",VLOOKUP('Comptage Décadaire'!A29,'Comptage Décadaire'!A:A,1,FALSE),"")</f>
        <v/>
      </c>
      <c r="B28" s="27" t="str">
        <f>IF('Comptage Décadaire'!B29&lt;&gt;"",VLOOKUP('Comptage Décadaire'!B29,'Comptage Décadaire'!B:B,1,FALSE),"")</f>
        <v/>
      </c>
      <c r="C28" s="28" t="str">
        <f>IF('Comptage Décadaire'!C29&lt;&gt;"",VLOOKUP('Comptage Décadaire'!C29,'Comptage Décadaire'!C:C,1,FALSE),"")</f>
        <v/>
      </c>
      <c r="D28" s="29" t="str">
        <f>IF('Comptage Décadaire'!D29&lt;&gt;"",VLOOKUP('Comptage Décadaire'!D29,Sites!$A:$B,2,FALSE),"")</f>
        <v/>
      </c>
      <c r="E28" s="29" t="str">
        <f>IF('Comptage Décadaire'!E29&lt;&gt;"",VLOOKUP('Comptage Décadaire'!E29,'Comptage Décadaire'!E:E,1,FALSE),"")</f>
        <v/>
      </c>
      <c r="F28" s="29" t="str">
        <f>IF('Comptage Décadaire'!F29&lt;&gt;"",VLOOKUP('Comptage Décadaire'!F29,Nomenclature!$B$2:$C$4,2,FALSE),"")</f>
        <v/>
      </c>
      <c r="G28" s="29" t="str">
        <f>IF('Comptage Décadaire'!G29&lt;&gt;"",VLOOKUP('Comptage Décadaire'!G29,'Comptage Décadaire'!G:G,1,FALSE),"")</f>
        <v/>
      </c>
      <c r="H28" s="29" t="str">
        <f>IF('Comptage Décadaire'!H29&lt;&gt;"",VLOOKUP('Comptage Décadaire'!H29,Nomenclature!$D$2:$E$7,2,FALSE),"")</f>
        <v/>
      </c>
      <c r="I28" s="30" t="str">
        <f>IF('Comptage Décadaire'!J29&lt;&gt;"",VLOOKUP('Comptage Décadaire'!J29,'Comptage Décadaire'!J:J,1,FALSE),"")</f>
        <v/>
      </c>
      <c r="J28" s="30" t="str">
        <f>IF('Comptage Décadaire'!K29&lt;&gt;"",VLOOKUP('Comptage Décadaire'!K29,'Comptage Décadaire'!K:K,1,FALSE),"")</f>
        <v/>
      </c>
      <c r="K28" s="30" t="str">
        <f>IF('Comptage Décadaire'!L29&lt;&gt;"",VLOOKUP('Comptage Décadaire'!L29,'Comptage Décadaire'!L:L,1,FALSE),"")</f>
        <v/>
      </c>
      <c r="L28" s="31" t="str">
        <f>IF('Comptage Décadaire'!M29&lt;&gt;"",VLOOKUP('Comptage Décadaire'!M29,'Comptage Décadaire'!M:M,1,FALSE),"")</f>
        <v/>
      </c>
      <c r="M28" s="33" t="str">
        <f>IF('Comptage Décadaire'!N29&lt;&gt;"",VLOOKUP('Comptage Décadaire'!N29,Utilisateurs!$D:$F,3,FALSE),"")</f>
        <v/>
      </c>
      <c r="N28" s="33" t="str">
        <f>IF('Comptage Décadaire'!O29&lt;&gt;"",VLOOKUP('Comptage Décadaire'!O29,Utilisateurs!$D:$F,3,FALSE),"")</f>
        <v/>
      </c>
      <c r="O28" s="33" t="str">
        <f>IF('Comptage Décadaire'!P29&lt;&gt;"",VLOOKUP('Comptage Décadaire'!P29,Utilisateurs!$D:$F,3,FALSE),"")</f>
        <v/>
      </c>
      <c r="P28" s="33" t="str">
        <f>IF('Comptage Décadaire'!Q29&lt;&gt;"",VLOOKUP('Comptage Décadaire'!Q29,Utilisateurs!$D:$F,3,FALSE),"")</f>
        <v/>
      </c>
      <c r="Q28" s="33" t="str">
        <f>IF('Comptage Décadaire'!R29&lt;&gt;"",VLOOKUP('Comptage Décadaire'!R29,Utilisateurs!$D:$F,3,FALSE),"")</f>
        <v/>
      </c>
      <c r="R28" s="30" t="str">
        <f>IF('Comptage Décadaire'!S29&lt;&gt;"",VLOOKUP('Comptage Décadaire'!S29,Nomenclature!$N:$O,2,FALSE),"")</f>
        <v/>
      </c>
      <c r="S28" s="30" t="str">
        <f>IF('Comptage Décadaire'!T29&lt;&gt;"",VLOOKUP('Comptage Décadaire'!T29,'Comptage Décadaire'!T:T,1,FALSE),"")</f>
        <v/>
      </c>
      <c r="T28" s="30" t="str">
        <f>IF('Comptage Décadaire'!U29&lt;&gt;"",VLOOKUP('Comptage Décadaire'!U29,'Comptage Décadaire'!U:U,1,FALSE),"")</f>
        <v/>
      </c>
      <c r="U28" s="30" t="str">
        <f>IF('Comptage Décadaire'!V29&lt;&gt;"",VLOOKUP('Comptage Décadaire'!V29,'Comptage Décadaire'!V:V,1,FALSE),"")</f>
        <v/>
      </c>
      <c r="V28" s="30" t="str">
        <f>IF('Comptage Décadaire'!W29&lt;&gt;"",VLOOKUP('Comptage Décadaire'!W29,'Comptage Décadaire'!W:W,1,FALSE),"")</f>
        <v/>
      </c>
      <c r="W28" s="30" t="str">
        <f>IF('Comptage Décadaire'!X29&lt;&gt;"",VLOOKUP('Comptage Décadaire'!X29,'Comptage Décadaire'!X:X,1,FALSE),"")</f>
        <v/>
      </c>
      <c r="X28" s="30" t="str">
        <f>IF('Comptage Décadaire'!Y29&lt;&gt;"",VLOOKUP('Comptage Décadaire'!Y29,'Comptage Décadaire'!Y:Y,1,FALSE),"")</f>
        <v/>
      </c>
      <c r="Y28" s="30" t="str">
        <f>IF('Comptage Décadaire'!Z29&lt;&gt;"",VLOOKUP('Comptage Décadaire'!Z29,Nomenclature!$F$2:$G$7,2,FALSE),"")</f>
        <v/>
      </c>
      <c r="Z28" s="30" t="str">
        <f>IF('Comptage Décadaire'!AA29&lt;&gt;"",VLOOKUP('Comptage Décadaire'!AA29,Nomenclature!$H$2:$I$31,2,FALSE),"")</f>
        <v/>
      </c>
      <c r="AA28" s="30" t="str">
        <f>IF('Comptage Décadaire'!AB29&lt;&gt;"",VLOOKUP('Comptage Décadaire'!AB29,Nomenclature!$J$2:$K$21,2,FALSE),"")</f>
        <v/>
      </c>
      <c r="AB28" s="30" t="str">
        <f>IF('Comptage Décadaire'!AC29&lt;&gt;"",VLOOKUP('Comptage Décadaire'!AC29,'Comptage Décadaire'!AC:AC,1,FALSE),"")</f>
        <v/>
      </c>
      <c r="AC28" s="32" t="str">
        <f>IF('Comptage Décadaire'!AD29&lt;&gt;"",VLOOKUP('Comptage Décadaire'!AD29,Nomenclature!$L$2:$M$8,2,FALSE),"")</f>
        <v/>
      </c>
      <c r="AD28" s="32" t="str">
        <f>IF('Comptage Décadaire'!AE29&lt;&gt;"",VLOOKUP('Comptage Décadaire'!AE29,Utilisateurs!$D$2:$F$81,3,FALSE),"")</f>
        <v/>
      </c>
      <c r="AE28" s="35" t="str">
        <f>IF('Comptage Décadaire'!AF29&lt;&gt;"",VLOOKUP('Comptage Décadaire'!AF29,'Comptage Décadaire'!AF:AF,1,FALSE),"")</f>
        <v/>
      </c>
      <c r="AF28" s="32" t="str">
        <f>IF('Comptage Décadaire'!AG29&lt;&gt;"",VLOOKUP('Comptage Décadaire'!AG29,'Comptage Décadaire'!AG:AG,1,FALSE),"")</f>
        <v/>
      </c>
    </row>
    <row r="29" spans="1:32" x14ac:dyDescent="0.25">
      <c r="A29" s="25" t="str">
        <f>IF('Comptage Décadaire'!A30&lt;&gt;"",VLOOKUP('Comptage Décadaire'!A30,'Comptage Décadaire'!A:A,1,FALSE),"")</f>
        <v/>
      </c>
      <c r="B29" s="27" t="str">
        <f>IF('Comptage Décadaire'!B30&lt;&gt;"",VLOOKUP('Comptage Décadaire'!B30,'Comptage Décadaire'!B:B,1,FALSE),"")</f>
        <v/>
      </c>
      <c r="C29" s="28" t="str">
        <f>IF('Comptage Décadaire'!C30&lt;&gt;"",VLOOKUP('Comptage Décadaire'!C30,'Comptage Décadaire'!C:C,1,FALSE),"")</f>
        <v/>
      </c>
      <c r="D29" s="29" t="str">
        <f>IF('Comptage Décadaire'!D30&lt;&gt;"",VLOOKUP('Comptage Décadaire'!D30,Sites!$A:$B,2,FALSE),"")</f>
        <v/>
      </c>
      <c r="E29" s="29" t="str">
        <f>IF('Comptage Décadaire'!E30&lt;&gt;"",VLOOKUP('Comptage Décadaire'!E30,'Comptage Décadaire'!E:E,1,FALSE),"")</f>
        <v/>
      </c>
      <c r="F29" s="29" t="str">
        <f>IF('Comptage Décadaire'!F30&lt;&gt;"",VLOOKUP('Comptage Décadaire'!F30,Nomenclature!$B$2:$C$4,2,FALSE),"")</f>
        <v/>
      </c>
      <c r="G29" s="29" t="str">
        <f>IF('Comptage Décadaire'!G30&lt;&gt;"",VLOOKUP('Comptage Décadaire'!G30,'Comptage Décadaire'!G:G,1,FALSE),"")</f>
        <v/>
      </c>
      <c r="H29" s="29" t="str">
        <f>IF('Comptage Décadaire'!H30&lt;&gt;"",VLOOKUP('Comptage Décadaire'!H30,Nomenclature!$D$2:$E$7,2,FALSE),"")</f>
        <v/>
      </c>
      <c r="I29" s="30" t="str">
        <f>IF('Comptage Décadaire'!J30&lt;&gt;"",VLOOKUP('Comptage Décadaire'!J30,'Comptage Décadaire'!J:J,1,FALSE),"")</f>
        <v/>
      </c>
      <c r="J29" s="30" t="str">
        <f>IF('Comptage Décadaire'!K30&lt;&gt;"",VLOOKUP('Comptage Décadaire'!K30,'Comptage Décadaire'!K:K,1,FALSE),"")</f>
        <v/>
      </c>
      <c r="K29" s="30" t="str">
        <f>IF('Comptage Décadaire'!L30&lt;&gt;"",VLOOKUP('Comptage Décadaire'!L30,'Comptage Décadaire'!L:L,1,FALSE),"")</f>
        <v/>
      </c>
      <c r="L29" s="31" t="str">
        <f>IF('Comptage Décadaire'!M30&lt;&gt;"",VLOOKUP('Comptage Décadaire'!M30,'Comptage Décadaire'!M:M,1,FALSE),"")</f>
        <v/>
      </c>
      <c r="M29" s="33" t="str">
        <f>IF('Comptage Décadaire'!N30&lt;&gt;"",VLOOKUP('Comptage Décadaire'!N30,Utilisateurs!$D:$F,3,FALSE),"")</f>
        <v/>
      </c>
      <c r="N29" s="33" t="str">
        <f>IF('Comptage Décadaire'!O30&lt;&gt;"",VLOOKUP('Comptage Décadaire'!O30,Utilisateurs!$D:$F,3,FALSE),"")</f>
        <v/>
      </c>
      <c r="O29" s="33" t="str">
        <f>IF('Comptage Décadaire'!P30&lt;&gt;"",VLOOKUP('Comptage Décadaire'!P30,Utilisateurs!$D:$F,3,FALSE),"")</f>
        <v/>
      </c>
      <c r="P29" s="33" t="str">
        <f>IF('Comptage Décadaire'!Q30&lt;&gt;"",VLOOKUP('Comptage Décadaire'!Q30,Utilisateurs!$D:$F,3,FALSE),"")</f>
        <v/>
      </c>
      <c r="Q29" s="33" t="str">
        <f>IF('Comptage Décadaire'!R30&lt;&gt;"",VLOOKUP('Comptage Décadaire'!R30,Utilisateurs!$D:$F,3,FALSE),"")</f>
        <v/>
      </c>
      <c r="R29" s="30" t="str">
        <f>IF('Comptage Décadaire'!S30&lt;&gt;"",VLOOKUP('Comptage Décadaire'!S30,Nomenclature!$N:$O,2,FALSE),"")</f>
        <v/>
      </c>
      <c r="S29" s="30" t="str">
        <f>IF('Comptage Décadaire'!T30&lt;&gt;"",VLOOKUP('Comptage Décadaire'!T30,'Comptage Décadaire'!T:T,1,FALSE),"")</f>
        <v/>
      </c>
      <c r="T29" s="30" t="str">
        <f>IF('Comptage Décadaire'!U30&lt;&gt;"",VLOOKUP('Comptage Décadaire'!U30,'Comptage Décadaire'!U:U,1,FALSE),"")</f>
        <v/>
      </c>
      <c r="U29" s="30" t="str">
        <f>IF('Comptage Décadaire'!V30&lt;&gt;"",VLOOKUP('Comptage Décadaire'!V30,'Comptage Décadaire'!V:V,1,FALSE),"")</f>
        <v/>
      </c>
      <c r="V29" s="30" t="str">
        <f>IF('Comptage Décadaire'!W30&lt;&gt;"",VLOOKUP('Comptage Décadaire'!W30,'Comptage Décadaire'!W:W,1,FALSE),"")</f>
        <v/>
      </c>
      <c r="W29" s="30" t="str">
        <f>IF('Comptage Décadaire'!X30&lt;&gt;"",VLOOKUP('Comptage Décadaire'!X30,'Comptage Décadaire'!X:X,1,FALSE),"")</f>
        <v/>
      </c>
      <c r="X29" s="30" t="str">
        <f>IF('Comptage Décadaire'!Y30&lt;&gt;"",VLOOKUP('Comptage Décadaire'!Y30,'Comptage Décadaire'!Y:Y,1,FALSE),"")</f>
        <v/>
      </c>
      <c r="Y29" s="30" t="str">
        <f>IF('Comptage Décadaire'!Z30&lt;&gt;"",VLOOKUP('Comptage Décadaire'!Z30,Nomenclature!$F$2:$G$7,2,FALSE),"")</f>
        <v/>
      </c>
      <c r="Z29" s="30" t="str">
        <f>IF('Comptage Décadaire'!AA30&lt;&gt;"",VLOOKUP('Comptage Décadaire'!AA30,Nomenclature!$H$2:$I$31,2,FALSE),"")</f>
        <v/>
      </c>
      <c r="AA29" s="30" t="str">
        <f>IF('Comptage Décadaire'!AB30&lt;&gt;"",VLOOKUP('Comptage Décadaire'!AB30,Nomenclature!$J$2:$K$21,2,FALSE),"")</f>
        <v/>
      </c>
      <c r="AB29" s="30" t="str">
        <f>IF('Comptage Décadaire'!AC30&lt;&gt;"",VLOOKUP('Comptage Décadaire'!AC30,'Comptage Décadaire'!AC:AC,1,FALSE),"")</f>
        <v/>
      </c>
      <c r="AC29" s="32" t="str">
        <f>IF('Comptage Décadaire'!AD30&lt;&gt;"",VLOOKUP('Comptage Décadaire'!AD30,Nomenclature!$L$2:$M$8,2,FALSE),"")</f>
        <v/>
      </c>
      <c r="AD29" s="32" t="str">
        <f>IF('Comptage Décadaire'!AE30&lt;&gt;"",VLOOKUP('Comptage Décadaire'!AE30,Utilisateurs!$D$2:$F$81,3,FALSE),"")</f>
        <v/>
      </c>
      <c r="AE29" s="35" t="str">
        <f>IF('Comptage Décadaire'!AF30&lt;&gt;"",VLOOKUP('Comptage Décadaire'!AF30,'Comptage Décadaire'!AF:AF,1,FALSE),"")</f>
        <v/>
      </c>
      <c r="AF29" s="32" t="str">
        <f>IF('Comptage Décadaire'!AG30&lt;&gt;"",VLOOKUP('Comptage Décadaire'!AG30,'Comptage Décadaire'!AG:AG,1,FALSE),"")</f>
        <v/>
      </c>
    </row>
    <row r="30" spans="1:32" x14ac:dyDescent="0.25">
      <c r="A30" s="25" t="str">
        <f>IF('Comptage Décadaire'!A31&lt;&gt;"",VLOOKUP('Comptage Décadaire'!A31,'Comptage Décadaire'!A:A,1,FALSE),"")</f>
        <v/>
      </c>
      <c r="B30" s="27" t="str">
        <f>IF('Comptage Décadaire'!B31&lt;&gt;"",VLOOKUP('Comptage Décadaire'!B31,'Comptage Décadaire'!B:B,1,FALSE),"")</f>
        <v/>
      </c>
      <c r="C30" s="28" t="str">
        <f>IF('Comptage Décadaire'!C31&lt;&gt;"",VLOOKUP('Comptage Décadaire'!C31,'Comptage Décadaire'!C:C,1,FALSE),"")</f>
        <v/>
      </c>
      <c r="D30" s="29" t="str">
        <f>IF('Comptage Décadaire'!D31&lt;&gt;"",VLOOKUP('Comptage Décadaire'!D31,Sites!$A:$B,2,FALSE),"")</f>
        <v/>
      </c>
      <c r="E30" s="29" t="str">
        <f>IF('Comptage Décadaire'!E31&lt;&gt;"",VLOOKUP('Comptage Décadaire'!E31,'Comptage Décadaire'!E:E,1,FALSE),"")</f>
        <v/>
      </c>
      <c r="F30" s="29" t="str">
        <f>IF('Comptage Décadaire'!F31&lt;&gt;"",VLOOKUP('Comptage Décadaire'!F31,Nomenclature!$B$2:$C$4,2,FALSE),"")</f>
        <v/>
      </c>
      <c r="G30" s="29" t="str">
        <f>IF('Comptage Décadaire'!G31&lt;&gt;"",VLOOKUP('Comptage Décadaire'!G31,'Comptage Décadaire'!G:G,1,FALSE),"")</f>
        <v/>
      </c>
      <c r="H30" s="29" t="str">
        <f>IF('Comptage Décadaire'!H31&lt;&gt;"",VLOOKUP('Comptage Décadaire'!H31,Nomenclature!$D$2:$E$7,2,FALSE),"")</f>
        <v/>
      </c>
      <c r="I30" s="30" t="str">
        <f>IF('Comptage Décadaire'!J31&lt;&gt;"",VLOOKUP('Comptage Décadaire'!J31,'Comptage Décadaire'!J:J,1,FALSE),"")</f>
        <v/>
      </c>
      <c r="J30" s="30" t="str">
        <f>IF('Comptage Décadaire'!K31&lt;&gt;"",VLOOKUP('Comptage Décadaire'!K31,'Comptage Décadaire'!K:K,1,FALSE),"")</f>
        <v/>
      </c>
      <c r="K30" s="30" t="str">
        <f>IF('Comptage Décadaire'!L31&lt;&gt;"",VLOOKUP('Comptage Décadaire'!L31,'Comptage Décadaire'!L:L,1,FALSE),"")</f>
        <v/>
      </c>
      <c r="L30" s="31" t="str">
        <f>IF('Comptage Décadaire'!M31&lt;&gt;"",VLOOKUP('Comptage Décadaire'!M31,'Comptage Décadaire'!M:M,1,FALSE),"")</f>
        <v/>
      </c>
      <c r="M30" s="33" t="str">
        <f>IF('Comptage Décadaire'!N31&lt;&gt;"",VLOOKUP('Comptage Décadaire'!N31,Utilisateurs!$D:$F,3,FALSE),"")</f>
        <v/>
      </c>
      <c r="N30" s="33" t="str">
        <f>IF('Comptage Décadaire'!O31&lt;&gt;"",VLOOKUP('Comptage Décadaire'!O31,Utilisateurs!$D:$F,3,FALSE),"")</f>
        <v/>
      </c>
      <c r="O30" s="33" t="str">
        <f>IF('Comptage Décadaire'!P31&lt;&gt;"",VLOOKUP('Comptage Décadaire'!P31,Utilisateurs!$D:$F,3,FALSE),"")</f>
        <v/>
      </c>
      <c r="P30" s="33" t="str">
        <f>IF('Comptage Décadaire'!Q31&lt;&gt;"",VLOOKUP('Comptage Décadaire'!Q31,Utilisateurs!$D:$F,3,FALSE),"")</f>
        <v/>
      </c>
      <c r="Q30" s="33" t="str">
        <f>IF('Comptage Décadaire'!R31&lt;&gt;"",VLOOKUP('Comptage Décadaire'!R31,Utilisateurs!$D:$F,3,FALSE),"")</f>
        <v/>
      </c>
      <c r="R30" s="30" t="str">
        <f>IF('Comptage Décadaire'!S31&lt;&gt;"",VLOOKUP('Comptage Décadaire'!S31,Nomenclature!$N:$O,2,FALSE),"")</f>
        <v/>
      </c>
      <c r="S30" s="30" t="str">
        <f>IF('Comptage Décadaire'!T31&lt;&gt;"",VLOOKUP('Comptage Décadaire'!T31,'Comptage Décadaire'!T:T,1,FALSE),"")</f>
        <v/>
      </c>
      <c r="T30" s="30" t="str">
        <f>IF('Comptage Décadaire'!U31&lt;&gt;"",VLOOKUP('Comptage Décadaire'!U31,'Comptage Décadaire'!U:U,1,FALSE),"")</f>
        <v/>
      </c>
      <c r="U30" s="30" t="str">
        <f>IF('Comptage Décadaire'!V31&lt;&gt;"",VLOOKUP('Comptage Décadaire'!V31,'Comptage Décadaire'!V:V,1,FALSE),"")</f>
        <v/>
      </c>
      <c r="V30" s="30" t="str">
        <f>IF('Comptage Décadaire'!W31&lt;&gt;"",VLOOKUP('Comptage Décadaire'!W31,'Comptage Décadaire'!W:W,1,FALSE),"")</f>
        <v/>
      </c>
      <c r="W30" s="30" t="str">
        <f>IF('Comptage Décadaire'!X31&lt;&gt;"",VLOOKUP('Comptage Décadaire'!X31,'Comptage Décadaire'!X:X,1,FALSE),"")</f>
        <v/>
      </c>
      <c r="X30" s="30" t="str">
        <f>IF('Comptage Décadaire'!Y31&lt;&gt;"",VLOOKUP('Comptage Décadaire'!Y31,'Comptage Décadaire'!Y:Y,1,FALSE),"")</f>
        <v/>
      </c>
      <c r="Y30" s="30" t="str">
        <f>IF('Comptage Décadaire'!Z31&lt;&gt;"",VLOOKUP('Comptage Décadaire'!Z31,Nomenclature!$F$2:$G$7,2,FALSE),"")</f>
        <v/>
      </c>
      <c r="Z30" s="30" t="str">
        <f>IF('Comptage Décadaire'!AA31&lt;&gt;"",VLOOKUP('Comptage Décadaire'!AA31,Nomenclature!$H$2:$I$31,2,FALSE),"")</f>
        <v/>
      </c>
      <c r="AA30" s="30" t="str">
        <f>IF('Comptage Décadaire'!AB31&lt;&gt;"",VLOOKUP('Comptage Décadaire'!AB31,Nomenclature!$J$2:$K$21,2,FALSE),"")</f>
        <v/>
      </c>
      <c r="AB30" s="30" t="str">
        <f>IF('Comptage Décadaire'!AC31&lt;&gt;"",VLOOKUP('Comptage Décadaire'!AC31,'Comptage Décadaire'!AC:AC,1,FALSE),"")</f>
        <v/>
      </c>
      <c r="AC30" s="32" t="str">
        <f>IF('Comptage Décadaire'!AD31&lt;&gt;"",VLOOKUP('Comptage Décadaire'!AD31,Nomenclature!$L$2:$M$8,2,FALSE),"")</f>
        <v/>
      </c>
      <c r="AD30" s="32" t="str">
        <f>IF('Comptage Décadaire'!AE31&lt;&gt;"",VLOOKUP('Comptage Décadaire'!AE31,Utilisateurs!$D$2:$F$81,3,FALSE),"")</f>
        <v/>
      </c>
      <c r="AE30" s="35" t="str">
        <f>IF('Comptage Décadaire'!AF31&lt;&gt;"",VLOOKUP('Comptage Décadaire'!AF31,'Comptage Décadaire'!AF:AF,1,FALSE),"")</f>
        <v/>
      </c>
      <c r="AF30" s="32" t="str">
        <f>IF('Comptage Décadaire'!AG31&lt;&gt;"",VLOOKUP('Comptage Décadaire'!AG31,'Comptage Décadaire'!AG:AG,1,FALSE),"")</f>
        <v/>
      </c>
    </row>
    <row r="31" spans="1:32" x14ac:dyDescent="0.25">
      <c r="A31" s="25" t="str">
        <f>IF('Comptage Décadaire'!A32&lt;&gt;"",VLOOKUP('Comptage Décadaire'!A32,'Comptage Décadaire'!A:A,1,FALSE),"")</f>
        <v/>
      </c>
      <c r="B31" s="27" t="str">
        <f>IF('Comptage Décadaire'!B32&lt;&gt;"",VLOOKUP('Comptage Décadaire'!B32,'Comptage Décadaire'!B:B,1,FALSE),"")</f>
        <v/>
      </c>
      <c r="C31" s="28" t="str">
        <f>IF('Comptage Décadaire'!C32&lt;&gt;"",VLOOKUP('Comptage Décadaire'!C32,'Comptage Décadaire'!C:C,1,FALSE),"")</f>
        <v/>
      </c>
      <c r="D31" s="29" t="str">
        <f>IF('Comptage Décadaire'!D32&lt;&gt;"",VLOOKUP('Comptage Décadaire'!D32,Sites!$A:$B,2,FALSE),"")</f>
        <v/>
      </c>
      <c r="E31" s="29" t="str">
        <f>IF('Comptage Décadaire'!E32&lt;&gt;"",VLOOKUP('Comptage Décadaire'!E32,'Comptage Décadaire'!E:E,1,FALSE),"")</f>
        <v/>
      </c>
      <c r="F31" s="29" t="str">
        <f>IF('Comptage Décadaire'!F32&lt;&gt;"",VLOOKUP('Comptage Décadaire'!F32,Nomenclature!$B$2:$C$4,2,FALSE),"")</f>
        <v/>
      </c>
      <c r="G31" s="29" t="str">
        <f>IF('Comptage Décadaire'!G32&lt;&gt;"",VLOOKUP('Comptage Décadaire'!G32,'Comptage Décadaire'!G:G,1,FALSE),"")</f>
        <v/>
      </c>
      <c r="H31" s="29" t="str">
        <f>IF('Comptage Décadaire'!H32&lt;&gt;"",VLOOKUP('Comptage Décadaire'!H32,Nomenclature!$D$2:$E$7,2,FALSE),"")</f>
        <v/>
      </c>
      <c r="I31" s="30" t="str">
        <f>IF('Comptage Décadaire'!J32&lt;&gt;"",VLOOKUP('Comptage Décadaire'!J32,'Comptage Décadaire'!J:J,1,FALSE),"")</f>
        <v/>
      </c>
      <c r="J31" s="30" t="str">
        <f>IF('Comptage Décadaire'!K32&lt;&gt;"",VLOOKUP('Comptage Décadaire'!K32,'Comptage Décadaire'!K:K,1,FALSE),"")</f>
        <v/>
      </c>
      <c r="K31" s="30" t="str">
        <f>IF('Comptage Décadaire'!L32&lt;&gt;"",VLOOKUP('Comptage Décadaire'!L32,'Comptage Décadaire'!L:L,1,FALSE),"")</f>
        <v/>
      </c>
      <c r="L31" s="31" t="str">
        <f>IF('Comptage Décadaire'!M32&lt;&gt;"",VLOOKUP('Comptage Décadaire'!M32,'Comptage Décadaire'!M:M,1,FALSE),"")</f>
        <v/>
      </c>
      <c r="M31" s="33" t="str">
        <f>IF('Comptage Décadaire'!N32&lt;&gt;"",VLOOKUP('Comptage Décadaire'!N32,Utilisateurs!$D:$F,3,FALSE),"")</f>
        <v/>
      </c>
      <c r="N31" s="33" t="str">
        <f>IF('Comptage Décadaire'!O32&lt;&gt;"",VLOOKUP('Comptage Décadaire'!O32,Utilisateurs!$D:$F,3,FALSE),"")</f>
        <v/>
      </c>
      <c r="O31" s="33" t="str">
        <f>IF('Comptage Décadaire'!P32&lt;&gt;"",VLOOKUP('Comptage Décadaire'!P32,Utilisateurs!$D:$F,3,FALSE),"")</f>
        <v/>
      </c>
      <c r="P31" s="33" t="str">
        <f>IF('Comptage Décadaire'!Q32&lt;&gt;"",VLOOKUP('Comptage Décadaire'!Q32,Utilisateurs!$D:$F,3,FALSE),"")</f>
        <v/>
      </c>
      <c r="Q31" s="33" t="str">
        <f>IF('Comptage Décadaire'!R32&lt;&gt;"",VLOOKUP('Comptage Décadaire'!R32,Utilisateurs!$D:$F,3,FALSE),"")</f>
        <v/>
      </c>
      <c r="R31" s="30" t="str">
        <f>IF('Comptage Décadaire'!S32&lt;&gt;"",VLOOKUP('Comptage Décadaire'!S32,Nomenclature!$N:$O,2,FALSE),"")</f>
        <v/>
      </c>
      <c r="S31" s="30" t="str">
        <f>IF('Comptage Décadaire'!T32&lt;&gt;"",VLOOKUP('Comptage Décadaire'!T32,'Comptage Décadaire'!T:T,1,FALSE),"")</f>
        <v/>
      </c>
      <c r="T31" s="30" t="str">
        <f>IF('Comptage Décadaire'!U32&lt;&gt;"",VLOOKUP('Comptage Décadaire'!U32,'Comptage Décadaire'!U:U,1,FALSE),"")</f>
        <v/>
      </c>
      <c r="U31" s="30" t="str">
        <f>IF('Comptage Décadaire'!V32&lt;&gt;"",VLOOKUP('Comptage Décadaire'!V32,'Comptage Décadaire'!V:V,1,FALSE),"")</f>
        <v/>
      </c>
      <c r="V31" s="30" t="str">
        <f>IF('Comptage Décadaire'!W32&lt;&gt;"",VLOOKUP('Comptage Décadaire'!W32,'Comptage Décadaire'!W:W,1,FALSE),"")</f>
        <v/>
      </c>
      <c r="W31" s="30" t="str">
        <f>IF('Comptage Décadaire'!X32&lt;&gt;"",VLOOKUP('Comptage Décadaire'!X32,'Comptage Décadaire'!X:X,1,FALSE),"")</f>
        <v/>
      </c>
      <c r="X31" s="30" t="str">
        <f>IF('Comptage Décadaire'!Y32&lt;&gt;"",VLOOKUP('Comptage Décadaire'!Y32,'Comptage Décadaire'!Y:Y,1,FALSE),"")</f>
        <v/>
      </c>
      <c r="Y31" s="30" t="str">
        <f>IF('Comptage Décadaire'!Z32&lt;&gt;"",VLOOKUP('Comptage Décadaire'!Z32,Nomenclature!$F$2:$G$7,2,FALSE),"")</f>
        <v/>
      </c>
      <c r="Z31" s="30" t="str">
        <f>IF('Comptage Décadaire'!AA32&lt;&gt;"",VLOOKUP('Comptage Décadaire'!AA32,Nomenclature!$H$2:$I$31,2,FALSE),"")</f>
        <v/>
      </c>
      <c r="AA31" s="30" t="str">
        <f>IF('Comptage Décadaire'!AB32&lt;&gt;"",VLOOKUP('Comptage Décadaire'!AB32,Nomenclature!$J$2:$K$21,2,FALSE),"")</f>
        <v/>
      </c>
      <c r="AB31" s="30" t="str">
        <f>IF('Comptage Décadaire'!AC32&lt;&gt;"",VLOOKUP('Comptage Décadaire'!AC32,'Comptage Décadaire'!AC:AC,1,FALSE),"")</f>
        <v/>
      </c>
      <c r="AC31" s="32" t="str">
        <f>IF('Comptage Décadaire'!AD32&lt;&gt;"",VLOOKUP('Comptage Décadaire'!AD32,Nomenclature!$L$2:$M$8,2,FALSE),"")</f>
        <v/>
      </c>
      <c r="AD31" s="32" t="str">
        <f>IF('Comptage Décadaire'!AE32&lt;&gt;"",VLOOKUP('Comptage Décadaire'!AE32,Utilisateurs!$D$2:$F$81,3,FALSE),"")</f>
        <v/>
      </c>
      <c r="AE31" s="35" t="str">
        <f>IF('Comptage Décadaire'!AF32&lt;&gt;"",VLOOKUP('Comptage Décadaire'!AF32,'Comptage Décadaire'!AF:AF,1,FALSE),"")</f>
        <v/>
      </c>
      <c r="AF31" s="32" t="str">
        <f>IF('Comptage Décadaire'!AG32&lt;&gt;"",VLOOKUP('Comptage Décadaire'!AG32,'Comptage Décadaire'!AG:AG,1,FALSE),"")</f>
        <v/>
      </c>
    </row>
    <row r="32" spans="1:32" x14ac:dyDescent="0.25">
      <c r="A32" s="25" t="str">
        <f>IF('Comptage Décadaire'!A33&lt;&gt;"",VLOOKUP('Comptage Décadaire'!A33,'Comptage Décadaire'!A:A,1,FALSE),"")</f>
        <v/>
      </c>
      <c r="B32" s="27" t="str">
        <f>IF('Comptage Décadaire'!B33&lt;&gt;"",VLOOKUP('Comptage Décadaire'!B33,'Comptage Décadaire'!B:B,1,FALSE),"")</f>
        <v/>
      </c>
      <c r="C32" s="28" t="str">
        <f>IF('Comptage Décadaire'!C33&lt;&gt;"",VLOOKUP('Comptage Décadaire'!C33,'Comptage Décadaire'!C:C,1,FALSE),"")</f>
        <v/>
      </c>
      <c r="D32" s="29" t="str">
        <f>IF('Comptage Décadaire'!D33&lt;&gt;"",VLOOKUP('Comptage Décadaire'!D33,Sites!$A:$B,2,FALSE),"")</f>
        <v/>
      </c>
      <c r="E32" s="29" t="str">
        <f>IF('Comptage Décadaire'!E33&lt;&gt;"",VLOOKUP('Comptage Décadaire'!E33,'Comptage Décadaire'!E:E,1,FALSE),"")</f>
        <v/>
      </c>
      <c r="F32" s="29" t="str">
        <f>IF('Comptage Décadaire'!F33&lt;&gt;"",VLOOKUP('Comptage Décadaire'!F33,Nomenclature!$B$2:$C$4,2,FALSE),"")</f>
        <v/>
      </c>
      <c r="G32" s="29" t="str">
        <f>IF('Comptage Décadaire'!G33&lt;&gt;"",VLOOKUP('Comptage Décadaire'!G33,'Comptage Décadaire'!G:G,1,FALSE),"")</f>
        <v/>
      </c>
      <c r="H32" s="29" t="str">
        <f>IF('Comptage Décadaire'!H33&lt;&gt;"",VLOOKUP('Comptage Décadaire'!H33,Nomenclature!$D$2:$E$7,2,FALSE),"")</f>
        <v/>
      </c>
      <c r="I32" s="30" t="str">
        <f>IF('Comptage Décadaire'!J33&lt;&gt;"",VLOOKUP('Comptage Décadaire'!J33,'Comptage Décadaire'!J:J,1,FALSE),"")</f>
        <v/>
      </c>
      <c r="J32" s="30" t="str">
        <f>IF('Comptage Décadaire'!K33&lt;&gt;"",VLOOKUP('Comptage Décadaire'!K33,'Comptage Décadaire'!K:K,1,FALSE),"")</f>
        <v/>
      </c>
      <c r="K32" s="30" t="str">
        <f>IF('Comptage Décadaire'!L33&lt;&gt;"",VLOOKUP('Comptage Décadaire'!L33,'Comptage Décadaire'!L:L,1,FALSE),"")</f>
        <v/>
      </c>
      <c r="L32" s="31" t="str">
        <f>IF('Comptage Décadaire'!M33&lt;&gt;"",VLOOKUP('Comptage Décadaire'!M33,'Comptage Décadaire'!M:M,1,FALSE),"")</f>
        <v/>
      </c>
      <c r="M32" s="33" t="str">
        <f>IF('Comptage Décadaire'!N33&lt;&gt;"",VLOOKUP('Comptage Décadaire'!N33,Utilisateurs!$D:$F,3,FALSE),"")</f>
        <v/>
      </c>
      <c r="N32" s="33" t="str">
        <f>IF('Comptage Décadaire'!O33&lt;&gt;"",VLOOKUP('Comptage Décadaire'!O33,Utilisateurs!$D:$F,3,FALSE),"")</f>
        <v/>
      </c>
      <c r="O32" s="33" t="str">
        <f>IF('Comptage Décadaire'!P33&lt;&gt;"",VLOOKUP('Comptage Décadaire'!P33,Utilisateurs!$D:$F,3,FALSE),"")</f>
        <v/>
      </c>
      <c r="P32" s="33" t="str">
        <f>IF('Comptage Décadaire'!Q33&lt;&gt;"",VLOOKUP('Comptage Décadaire'!Q33,Utilisateurs!$D:$F,3,FALSE),"")</f>
        <v/>
      </c>
      <c r="Q32" s="33" t="str">
        <f>IF('Comptage Décadaire'!R33&lt;&gt;"",VLOOKUP('Comptage Décadaire'!R33,Utilisateurs!$D:$F,3,FALSE),"")</f>
        <v/>
      </c>
      <c r="R32" s="30" t="str">
        <f>IF('Comptage Décadaire'!S33&lt;&gt;"",VLOOKUP('Comptage Décadaire'!S33,Nomenclature!$N:$O,2,FALSE),"")</f>
        <v/>
      </c>
      <c r="S32" s="30" t="str">
        <f>IF('Comptage Décadaire'!T33&lt;&gt;"",VLOOKUP('Comptage Décadaire'!T33,'Comptage Décadaire'!T:T,1,FALSE),"")</f>
        <v/>
      </c>
      <c r="T32" s="30" t="str">
        <f>IF('Comptage Décadaire'!U33&lt;&gt;"",VLOOKUP('Comptage Décadaire'!U33,'Comptage Décadaire'!U:U,1,FALSE),"")</f>
        <v/>
      </c>
      <c r="U32" s="30" t="str">
        <f>IF('Comptage Décadaire'!V33&lt;&gt;"",VLOOKUP('Comptage Décadaire'!V33,'Comptage Décadaire'!V:V,1,FALSE),"")</f>
        <v/>
      </c>
      <c r="V32" s="30" t="str">
        <f>IF('Comptage Décadaire'!W33&lt;&gt;"",VLOOKUP('Comptage Décadaire'!W33,'Comptage Décadaire'!W:W,1,FALSE),"")</f>
        <v/>
      </c>
      <c r="W32" s="30" t="str">
        <f>IF('Comptage Décadaire'!X33&lt;&gt;"",VLOOKUP('Comptage Décadaire'!X33,'Comptage Décadaire'!X:X,1,FALSE),"")</f>
        <v/>
      </c>
      <c r="X32" s="30" t="str">
        <f>IF('Comptage Décadaire'!Y33&lt;&gt;"",VLOOKUP('Comptage Décadaire'!Y33,'Comptage Décadaire'!Y:Y,1,FALSE),"")</f>
        <v/>
      </c>
      <c r="Y32" s="30" t="str">
        <f>IF('Comptage Décadaire'!Z33&lt;&gt;"",VLOOKUP('Comptage Décadaire'!Z33,Nomenclature!$F$2:$G$7,2,FALSE),"")</f>
        <v/>
      </c>
      <c r="Z32" s="30" t="str">
        <f>IF('Comptage Décadaire'!AA33&lt;&gt;"",VLOOKUP('Comptage Décadaire'!AA33,Nomenclature!$H$2:$I$31,2,FALSE),"")</f>
        <v/>
      </c>
      <c r="AA32" s="30" t="str">
        <f>IF('Comptage Décadaire'!AB33&lt;&gt;"",VLOOKUP('Comptage Décadaire'!AB33,Nomenclature!$J$2:$K$21,2,FALSE),"")</f>
        <v/>
      </c>
      <c r="AB32" s="30" t="str">
        <f>IF('Comptage Décadaire'!AC33&lt;&gt;"",VLOOKUP('Comptage Décadaire'!AC33,'Comptage Décadaire'!AC:AC,1,FALSE),"")</f>
        <v/>
      </c>
      <c r="AC32" s="32" t="str">
        <f>IF('Comptage Décadaire'!AD33&lt;&gt;"",VLOOKUP('Comptage Décadaire'!AD33,Nomenclature!$L$2:$M$8,2,FALSE),"")</f>
        <v/>
      </c>
      <c r="AD32" s="32" t="str">
        <f>IF('Comptage Décadaire'!AE33&lt;&gt;"",VLOOKUP('Comptage Décadaire'!AE33,Utilisateurs!$D$2:$F$81,3,FALSE),"")</f>
        <v/>
      </c>
      <c r="AE32" s="35" t="str">
        <f>IF('Comptage Décadaire'!AF33&lt;&gt;"",VLOOKUP('Comptage Décadaire'!AF33,'Comptage Décadaire'!AF:AF,1,FALSE),"")</f>
        <v/>
      </c>
      <c r="AF32" s="32" t="str">
        <f>IF('Comptage Décadaire'!AG33&lt;&gt;"",VLOOKUP('Comptage Décadaire'!AG33,'Comptage Décadaire'!AG:AG,1,FALSE),"")</f>
        <v/>
      </c>
    </row>
    <row r="33" spans="1:32" x14ac:dyDescent="0.25">
      <c r="A33" s="25" t="str">
        <f>IF('Comptage Décadaire'!A34&lt;&gt;"",VLOOKUP('Comptage Décadaire'!A34,'Comptage Décadaire'!A:A,1,FALSE),"")</f>
        <v/>
      </c>
      <c r="B33" s="27" t="str">
        <f>IF('Comptage Décadaire'!B34&lt;&gt;"",VLOOKUP('Comptage Décadaire'!B34,'Comptage Décadaire'!B:B,1,FALSE),"")</f>
        <v/>
      </c>
      <c r="C33" s="28" t="str">
        <f>IF('Comptage Décadaire'!C34&lt;&gt;"",VLOOKUP('Comptage Décadaire'!C34,'Comptage Décadaire'!C:C,1,FALSE),"")</f>
        <v/>
      </c>
      <c r="D33" s="29" t="str">
        <f>IF('Comptage Décadaire'!D34&lt;&gt;"",VLOOKUP('Comptage Décadaire'!D34,Sites!$A:$B,2,FALSE),"")</f>
        <v/>
      </c>
      <c r="E33" s="29" t="str">
        <f>IF('Comptage Décadaire'!E34&lt;&gt;"",VLOOKUP('Comptage Décadaire'!E34,'Comptage Décadaire'!E:E,1,FALSE),"")</f>
        <v/>
      </c>
      <c r="F33" s="29" t="str">
        <f>IF('Comptage Décadaire'!F34&lt;&gt;"",VLOOKUP('Comptage Décadaire'!F34,Nomenclature!$B$2:$C$4,2,FALSE),"")</f>
        <v/>
      </c>
      <c r="G33" s="29" t="str">
        <f>IF('Comptage Décadaire'!G34&lt;&gt;"",VLOOKUP('Comptage Décadaire'!G34,'Comptage Décadaire'!G:G,1,FALSE),"")</f>
        <v/>
      </c>
      <c r="H33" s="29" t="str">
        <f>IF('Comptage Décadaire'!H34&lt;&gt;"",VLOOKUP('Comptage Décadaire'!H34,Nomenclature!$D$2:$E$7,2,FALSE),"")</f>
        <v/>
      </c>
      <c r="I33" s="30" t="str">
        <f>IF('Comptage Décadaire'!J34&lt;&gt;"",VLOOKUP('Comptage Décadaire'!J34,'Comptage Décadaire'!J:J,1,FALSE),"")</f>
        <v/>
      </c>
      <c r="J33" s="30" t="str">
        <f>IF('Comptage Décadaire'!K34&lt;&gt;"",VLOOKUP('Comptage Décadaire'!K34,'Comptage Décadaire'!K:K,1,FALSE),"")</f>
        <v/>
      </c>
      <c r="K33" s="30" t="str">
        <f>IF('Comptage Décadaire'!L34&lt;&gt;"",VLOOKUP('Comptage Décadaire'!L34,'Comptage Décadaire'!L:L,1,FALSE),"")</f>
        <v/>
      </c>
      <c r="L33" s="31" t="str">
        <f>IF('Comptage Décadaire'!M34&lt;&gt;"",VLOOKUP('Comptage Décadaire'!M34,'Comptage Décadaire'!M:M,1,FALSE),"")</f>
        <v/>
      </c>
      <c r="M33" s="33" t="str">
        <f>IF('Comptage Décadaire'!N34&lt;&gt;"",VLOOKUP('Comptage Décadaire'!N34,Utilisateurs!$D:$F,3,FALSE),"")</f>
        <v/>
      </c>
      <c r="N33" s="33" t="str">
        <f>IF('Comptage Décadaire'!O34&lt;&gt;"",VLOOKUP('Comptage Décadaire'!O34,Utilisateurs!$D:$F,3,FALSE),"")</f>
        <v/>
      </c>
      <c r="O33" s="33" t="str">
        <f>IF('Comptage Décadaire'!P34&lt;&gt;"",VLOOKUP('Comptage Décadaire'!P34,Utilisateurs!$D:$F,3,FALSE),"")</f>
        <v/>
      </c>
      <c r="P33" s="33" t="str">
        <f>IF('Comptage Décadaire'!Q34&lt;&gt;"",VLOOKUP('Comptage Décadaire'!Q34,Utilisateurs!$D:$F,3,FALSE),"")</f>
        <v/>
      </c>
      <c r="Q33" s="33" t="str">
        <f>IF('Comptage Décadaire'!R34&lt;&gt;"",VLOOKUP('Comptage Décadaire'!R34,Utilisateurs!$D:$F,3,FALSE),"")</f>
        <v/>
      </c>
      <c r="R33" s="30" t="str">
        <f>IF('Comptage Décadaire'!S34&lt;&gt;"",VLOOKUP('Comptage Décadaire'!S34,Nomenclature!$N:$O,2,FALSE),"")</f>
        <v/>
      </c>
      <c r="S33" s="30" t="str">
        <f>IF('Comptage Décadaire'!T34&lt;&gt;"",VLOOKUP('Comptage Décadaire'!T34,'Comptage Décadaire'!T:T,1,FALSE),"")</f>
        <v/>
      </c>
      <c r="T33" s="30" t="str">
        <f>IF('Comptage Décadaire'!U34&lt;&gt;"",VLOOKUP('Comptage Décadaire'!U34,'Comptage Décadaire'!U:U,1,FALSE),"")</f>
        <v/>
      </c>
      <c r="U33" s="30" t="str">
        <f>IF('Comptage Décadaire'!V34&lt;&gt;"",VLOOKUP('Comptage Décadaire'!V34,'Comptage Décadaire'!V:V,1,FALSE),"")</f>
        <v/>
      </c>
      <c r="V33" s="30" t="str">
        <f>IF('Comptage Décadaire'!W34&lt;&gt;"",VLOOKUP('Comptage Décadaire'!W34,'Comptage Décadaire'!W:W,1,FALSE),"")</f>
        <v/>
      </c>
      <c r="W33" s="30" t="str">
        <f>IF('Comptage Décadaire'!X34&lt;&gt;"",VLOOKUP('Comptage Décadaire'!X34,'Comptage Décadaire'!X:X,1,FALSE),"")</f>
        <v/>
      </c>
      <c r="X33" s="30" t="str">
        <f>IF('Comptage Décadaire'!Y34&lt;&gt;"",VLOOKUP('Comptage Décadaire'!Y34,'Comptage Décadaire'!Y:Y,1,FALSE),"")</f>
        <v/>
      </c>
      <c r="Y33" s="30" t="str">
        <f>IF('Comptage Décadaire'!Z34&lt;&gt;"",VLOOKUP('Comptage Décadaire'!Z34,Nomenclature!$F$2:$G$7,2,FALSE),"")</f>
        <v/>
      </c>
      <c r="Z33" s="30" t="str">
        <f>IF('Comptage Décadaire'!AA34&lt;&gt;"",VLOOKUP('Comptage Décadaire'!AA34,Nomenclature!$H$2:$I$31,2,FALSE),"")</f>
        <v/>
      </c>
      <c r="AA33" s="30" t="str">
        <f>IF('Comptage Décadaire'!AB34&lt;&gt;"",VLOOKUP('Comptage Décadaire'!AB34,Nomenclature!$J$2:$K$21,2,FALSE),"")</f>
        <v/>
      </c>
      <c r="AB33" s="30" t="str">
        <f>IF('Comptage Décadaire'!AC34&lt;&gt;"",VLOOKUP('Comptage Décadaire'!AC34,'Comptage Décadaire'!AC:AC,1,FALSE),"")</f>
        <v/>
      </c>
      <c r="AC33" s="32" t="str">
        <f>IF('Comptage Décadaire'!AD34&lt;&gt;"",VLOOKUP('Comptage Décadaire'!AD34,Nomenclature!$L$2:$M$8,2,FALSE),"")</f>
        <v/>
      </c>
      <c r="AD33" s="32" t="str">
        <f>IF('Comptage Décadaire'!AE34&lt;&gt;"",VLOOKUP('Comptage Décadaire'!AE34,Utilisateurs!$D$2:$F$81,3,FALSE),"")</f>
        <v/>
      </c>
      <c r="AE33" s="35" t="str">
        <f>IF('Comptage Décadaire'!AF34&lt;&gt;"",VLOOKUP('Comptage Décadaire'!AF34,'Comptage Décadaire'!AF:AF,1,FALSE),"")</f>
        <v/>
      </c>
      <c r="AF33" s="32" t="str">
        <f>IF('Comptage Décadaire'!AG34&lt;&gt;"",VLOOKUP('Comptage Décadaire'!AG34,'Comptage Décadaire'!AG:AG,1,FALSE),"")</f>
        <v/>
      </c>
    </row>
    <row r="34" spans="1:32" x14ac:dyDescent="0.25">
      <c r="A34" s="25" t="str">
        <f>IF('Comptage Décadaire'!A35&lt;&gt;"",VLOOKUP('Comptage Décadaire'!A35,'Comptage Décadaire'!A:A,1,FALSE),"")</f>
        <v/>
      </c>
      <c r="B34" s="27" t="str">
        <f>IF('Comptage Décadaire'!B35&lt;&gt;"",VLOOKUP('Comptage Décadaire'!B35,'Comptage Décadaire'!B:B,1,FALSE),"")</f>
        <v/>
      </c>
      <c r="C34" s="28" t="str">
        <f>IF('Comptage Décadaire'!C35&lt;&gt;"",VLOOKUP('Comptage Décadaire'!C35,'Comptage Décadaire'!C:C,1,FALSE),"")</f>
        <v/>
      </c>
      <c r="D34" s="29" t="str">
        <f>IF('Comptage Décadaire'!D35&lt;&gt;"",VLOOKUP('Comptage Décadaire'!D35,Sites!$A:$B,2,FALSE),"")</f>
        <v/>
      </c>
      <c r="E34" s="29" t="str">
        <f>IF('Comptage Décadaire'!E35&lt;&gt;"",VLOOKUP('Comptage Décadaire'!E35,'Comptage Décadaire'!E:E,1,FALSE),"")</f>
        <v/>
      </c>
      <c r="F34" s="29" t="str">
        <f>IF('Comptage Décadaire'!F35&lt;&gt;"",VLOOKUP('Comptage Décadaire'!F35,Nomenclature!$B$2:$C$4,2,FALSE),"")</f>
        <v/>
      </c>
      <c r="G34" s="29" t="str">
        <f>IF('Comptage Décadaire'!G35&lt;&gt;"",VLOOKUP('Comptage Décadaire'!G35,'Comptage Décadaire'!G:G,1,FALSE),"")</f>
        <v/>
      </c>
      <c r="H34" s="29" t="str">
        <f>IF('Comptage Décadaire'!H35&lt;&gt;"",VLOOKUP('Comptage Décadaire'!H35,Nomenclature!$D$2:$E$7,2,FALSE),"")</f>
        <v/>
      </c>
      <c r="I34" s="30" t="str">
        <f>IF('Comptage Décadaire'!J35&lt;&gt;"",VLOOKUP('Comptage Décadaire'!J35,'Comptage Décadaire'!J:J,1,FALSE),"")</f>
        <v/>
      </c>
      <c r="J34" s="30" t="str">
        <f>IF('Comptage Décadaire'!K35&lt;&gt;"",VLOOKUP('Comptage Décadaire'!K35,'Comptage Décadaire'!K:K,1,FALSE),"")</f>
        <v/>
      </c>
      <c r="K34" s="30" t="str">
        <f>IF('Comptage Décadaire'!L35&lt;&gt;"",VLOOKUP('Comptage Décadaire'!L35,'Comptage Décadaire'!L:L,1,FALSE),"")</f>
        <v/>
      </c>
      <c r="L34" s="31" t="str">
        <f>IF('Comptage Décadaire'!M35&lt;&gt;"",VLOOKUP('Comptage Décadaire'!M35,'Comptage Décadaire'!M:M,1,FALSE),"")</f>
        <v/>
      </c>
      <c r="M34" s="33" t="str">
        <f>IF('Comptage Décadaire'!N35&lt;&gt;"",VLOOKUP('Comptage Décadaire'!N35,Utilisateurs!$D:$F,3,FALSE),"")</f>
        <v/>
      </c>
      <c r="N34" s="33" t="str">
        <f>IF('Comptage Décadaire'!O35&lt;&gt;"",VLOOKUP('Comptage Décadaire'!O35,Utilisateurs!$D:$F,3,FALSE),"")</f>
        <v/>
      </c>
      <c r="O34" s="33" t="str">
        <f>IF('Comptage Décadaire'!P35&lt;&gt;"",VLOOKUP('Comptage Décadaire'!P35,Utilisateurs!$D:$F,3,FALSE),"")</f>
        <v/>
      </c>
      <c r="P34" s="33" t="str">
        <f>IF('Comptage Décadaire'!Q35&lt;&gt;"",VLOOKUP('Comptage Décadaire'!Q35,Utilisateurs!$D:$F,3,FALSE),"")</f>
        <v/>
      </c>
      <c r="Q34" s="33" t="str">
        <f>IF('Comptage Décadaire'!R35&lt;&gt;"",VLOOKUP('Comptage Décadaire'!R35,Utilisateurs!$D:$F,3,FALSE),"")</f>
        <v/>
      </c>
      <c r="R34" s="30" t="str">
        <f>IF('Comptage Décadaire'!S35&lt;&gt;"",VLOOKUP('Comptage Décadaire'!S35,Nomenclature!$N:$O,2,FALSE),"")</f>
        <v/>
      </c>
      <c r="S34" s="30" t="str">
        <f>IF('Comptage Décadaire'!T35&lt;&gt;"",VLOOKUP('Comptage Décadaire'!T35,'Comptage Décadaire'!T:T,1,FALSE),"")</f>
        <v/>
      </c>
      <c r="T34" s="30" t="str">
        <f>IF('Comptage Décadaire'!U35&lt;&gt;"",VLOOKUP('Comptage Décadaire'!U35,'Comptage Décadaire'!U:U,1,FALSE),"")</f>
        <v/>
      </c>
      <c r="U34" s="30" t="str">
        <f>IF('Comptage Décadaire'!V35&lt;&gt;"",VLOOKUP('Comptage Décadaire'!V35,'Comptage Décadaire'!V:V,1,FALSE),"")</f>
        <v/>
      </c>
      <c r="V34" s="30" t="str">
        <f>IF('Comptage Décadaire'!W35&lt;&gt;"",VLOOKUP('Comptage Décadaire'!W35,'Comptage Décadaire'!W:W,1,FALSE),"")</f>
        <v/>
      </c>
      <c r="W34" s="30" t="str">
        <f>IF('Comptage Décadaire'!X35&lt;&gt;"",VLOOKUP('Comptage Décadaire'!X35,'Comptage Décadaire'!X:X,1,FALSE),"")</f>
        <v/>
      </c>
      <c r="X34" s="30" t="str">
        <f>IF('Comptage Décadaire'!Y35&lt;&gt;"",VLOOKUP('Comptage Décadaire'!Y35,'Comptage Décadaire'!Y:Y,1,FALSE),"")</f>
        <v/>
      </c>
      <c r="Y34" s="30" t="str">
        <f>IF('Comptage Décadaire'!Z35&lt;&gt;"",VLOOKUP('Comptage Décadaire'!Z35,Nomenclature!$F$2:$G$7,2,FALSE),"")</f>
        <v/>
      </c>
      <c r="Z34" s="30" t="str">
        <f>IF('Comptage Décadaire'!AA35&lt;&gt;"",VLOOKUP('Comptage Décadaire'!AA35,Nomenclature!$H$2:$I$31,2,FALSE),"")</f>
        <v/>
      </c>
      <c r="AA34" s="30" t="str">
        <f>IF('Comptage Décadaire'!AB35&lt;&gt;"",VLOOKUP('Comptage Décadaire'!AB35,Nomenclature!$J$2:$K$21,2,FALSE),"")</f>
        <v/>
      </c>
      <c r="AB34" s="30" t="str">
        <f>IF('Comptage Décadaire'!AC35&lt;&gt;"",VLOOKUP('Comptage Décadaire'!AC35,'Comptage Décadaire'!AC:AC,1,FALSE),"")</f>
        <v/>
      </c>
      <c r="AC34" s="32" t="str">
        <f>IF('Comptage Décadaire'!AD35&lt;&gt;"",VLOOKUP('Comptage Décadaire'!AD35,Nomenclature!$L$2:$M$8,2,FALSE),"")</f>
        <v/>
      </c>
      <c r="AD34" s="32" t="str">
        <f>IF('Comptage Décadaire'!AE35&lt;&gt;"",VLOOKUP('Comptage Décadaire'!AE35,Utilisateurs!$D$2:$F$81,3,FALSE),"")</f>
        <v/>
      </c>
      <c r="AE34" s="35" t="str">
        <f>IF('Comptage Décadaire'!AF35&lt;&gt;"",VLOOKUP('Comptage Décadaire'!AF35,'Comptage Décadaire'!AF:AF,1,FALSE),"")</f>
        <v/>
      </c>
      <c r="AF34" s="32" t="str">
        <f>IF('Comptage Décadaire'!AG35&lt;&gt;"",VLOOKUP('Comptage Décadaire'!AG35,'Comptage Décadaire'!AG:AG,1,FALSE),"")</f>
        <v/>
      </c>
    </row>
    <row r="35" spans="1:32" x14ac:dyDescent="0.25">
      <c r="A35" s="25" t="str">
        <f>IF('Comptage Décadaire'!A36&lt;&gt;"",VLOOKUP('Comptage Décadaire'!A36,'Comptage Décadaire'!A:A,1,FALSE),"")</f>
        <v/>
      </c>
      <c r="B35" s="27" t="str">
        <f>IF('Comptage Décadaire'!B36&lt;&gt;"",VLOOKUP('Comptage Décadaire'!B36,'Comptage Décadaire'!B:B,1,FALSE),"")</f>
        <v/>
      </c>
      <c r="C35" s="28" t="str">
        <f>IF('Comptage Décadaire'!C36&lt;&gt;"",VLOOKUP('Comptage Décadaire'!C36,'Comptage Décadaire'!C:C,1,FALSE),"")</f>
        <v/>
      </c>
      <c r="D35" s="29" t="str">
        <f>IF('Comptage Décadaire'!D36&lt;&gt;"",VLOOKUP('Comptage Décadaire'!D36,Sites!$A:$B,2,FALSE),"")</f>
        <v/>
      </c>
      <c r="E35" s="29" t="str">
        <f>IF('Comptage Décadaire'!E36&lt;&gt;"",VLOOKUP('Comptage Décadaire'!E36,'Comptage Décadaire'!E:E,1,FALSE),"")</f>
        <v/>
      </c>
      <c r="F35" s="29" t="str">
        <f>IF('Comptage Décadaire'!F36&lt;&gt;"",VLOOKUP('Comptage Décadaire'!F36,Nomenclature!$B$2:$C$4,2,FALSE),"")</f>
        <v/>
      </c>
      <c r="G35" s="29" t="str">
        <f>IF('Comptage Décadaire'!G36&lt;&gt;"",VLOOKUP('Comptage Décadaire'!G36,'Comptage Décadaire'!G:G,1,FALSE),"")</f>
        <v/>
      </c>
      <c r="H35" s="29" t="str">
        <f>IF('Comptage Décadaire'!H36&lt;&gt;"",VLOOKUP('Comptage Décadaire'!H36,Nomenclature!$D$2:$E$7,2,FALSE),"")</f>
        <v/>
      </c>
      <c r="I35" s="30" t="str">
        <f>IF('Comptage Décadaire'!J36&lt;&gt;"",VLOOKUP('Comptage Décadaire'!J36,'Comptage Décadaire'!J:J,1,FALSE),"")</f>
        <v/>
      </c>
      <c r="J35" s="30" t="str">
        <f>IF('Comptage Décadaire'!K36&lt;&gt;"",VLOOKUP('Comptage Décadaire'!K36,'Comptage Décadaire'!K:K,1,FALSE),"")</f>
        <v/>
      </c>
      <c r="K35" s="30" t="str">
        <f>IF('Comptage Décadaire'!L36&lt;&gt;"",VLOOKUP('Comptage Décadaire'!L36,'Comptage Décadaire'!L:L,1,FALSE),"")</f>
        <v/>
      </c>
      <c r="L35" s="31" t="str">
        <f>IF('Comptage Décadaire'!M36&lt;&gt;"",VLOOKUP('Comptage Décadaire'!M36,'Comptage Décadaire'!M:M,1,FALSE),"")</f>
        <v/>
      </c>
      <c r="M35" s="33" t="str">
        <f>IF('Comptage Décadaire'!N36&lt;&gt;"",VLOOKUP('Comptage Décadaire'!N36,Utilisateurs!$D:$F,3,FALSE),"")</f>
        <v/>
      </c>
      <c r="N35" s="33" t="str">
        <f>IF('Comptage Décadaire'!O36&lt;&gt;"",VLOOKUP('Comptage Décadaire'!O36,Utilisateurs!$D:$F,3,FALSE),"")</f>
        <v/>
      </c>
      <c r="O35" s="33" t="str">
        <f>IF('Comptage Décadaire'!P36&lt;&gt;"",VLOOKUP('Comptage Décadaire'!P36,Utilisateurs!$D:$F,3,FALSE),"")</f>
        <v/>
      </c>
      <c r="P35" s="33" t="str">
        <f>IF('Comptage Décadaire'!Q36&lt;&gt;"",VLOOKUP('Comptage Décadaire'!Q36,Utilisateurs!$D:$F,3,FALSE),"")</f>
        <v/>
      </c>
      <c r="Q35" s="33" t="str">
        <f>IF('Comptage Décadaire'!R36&lt;&gt;"",VLOOKUP('Comptage Décadaire'!R36,Utilisateurs!$D:$F,3,FALSE),"")</f>
        <v/>
      </c>
      <c r="R35" s="30" t="str">
        <f>IF('Comptage Décadaire'!S36&lt;&gt;"",VLOOKUP('Comptage Décadaire'!S36,Nomenclature!$N:$O,2,FALSE),"")</f>
        <v/>
      </c>
      <c r="S35" s="30" t="str">
        <f>IF('Comptage Décadaire'!T36&lt;&gt;"",VLOOKUP('Comptage Décadaire'!T36,'Comptage Décadaire'!T:T,1,FALSE),"")</f>
        <v/>
      </c>
      <c r="T35" s="30" t="str">
        <f>IF('Comptage Décadaire'!U36&lt;&gt;"",VLOOKUP('Comptage Décadaire'!U36,'Comptage Décadaire'!U:U,1,FALSE),"")</f>
        <v/>
      </c>
      <c r="U35" s="30" t="str">
        <f>IF('Comptage Décadaire'!V36&lt;&gt;"",VLOOKUP('Comptage Décadaire'!V36,'Comptage Décadaire'!V:V,1,FALSE),"")</f>
        <v/>
      </c>
      <c r="V35" s="30" t="str">
        <f>IF('Comptage Décadaire'!W36&lt;&gt;"",VLOOKUP('Comptage Décadaire'!W36,'Comptage Décadaire'!W:W,1,FALSE),"")</f>
        <v/>
      </c>
      <c r="W35" s="30" t="str">
        <f>IF('Comptage Décadaire'!X36&lt;&gt;"",VLOOKUP('Comptage Décadaire'!X36,'Comptage Décadaire'!X:X,1,FALSE),"")</f>
        <v/>
      </c>
      <c r="X35" s="30" t="str">
        <f>IF('Comptage Décadaire'!Y36&lt;&gt;"",VLOOKUP('Comptage Décadaire'!Y36,'Comptage Décadaire'!Y:Y,1,FALSE),"")</f>
        <v/>
      </c>
      <c r="Y35" s="30" t="str">
        <f>IF('Comptage Décadaire'!Z36&lt;&gt;"",VLOOKUP('Comptage Décadaire'!Z36,Nomenclature!$F$2:$G$7,2,FALSE),"")</f>
        <v/>
      </c>
      <c r="Z35" s="30" t="str">
        <f>IF('Comptage Décadaire'!AA36&lt;&gt;"",VLOOKUP('Comptage Décadaire'!AA36,Nomenclature!$H$2:$I$31,2,FALSE),"")</f>
        <v/>
      </c>
      <c r="AA35" s="30" t="str">
        <f>IF('Comptage Décadaire'!AB36&lt;&gt;"",VLOOKUP('Comptage Décadaire'!AB36,Nomenclature!$J$2:$K$21,2,FALSE),"")</f>
        <v/>
      </c>
      <c r="AB35" s="30" t="str">
        <f>IF('Comptage Décadaire'!AC36&lt;&gt;"",VLOOKUP('Comptage Décadaire'!AC36,'Comptage Décadaire'!AC:AC,1,FALSE),"")</f>
        <v/>
      </c>
      <c r="AC35" s="32" t="str">
        <f>IF('Comptage Décadaire'!AD36&lt;&gt;"",VLOOKUP('Comptage Décadaire'!AD36,Nomenclature!$L$2:$M$8,2,FALSE),"")</f>
        <v/>
      </c>
      <c r="AD35" s="32" t="str">
        <f>IF('Comptage Décadaire'!AE36&lt;&gt;"",VLOOKUP('Comptage Décadaire'!AE36,Utilisateurs!$D$2:$F$81,3,FALSE),"")</f>
        <v/>
      </c>
      <c r="AE35" s="35" t="str">
        <f>IF('Comptage Décadaire'!AF36&lt;&gt;"",VLOOKUP('Comptage Décadaire'!AF36,'Comptage Décadaire'!AF:AF,1,FALSE),"")</f>
        <v/>
      </c>
      <c r="AF35" s="32" t="str">
        <f>IF('Comptage Décadaire'!AG36&lt;&gt;"",VLOOKUP('Comptage Décadaire'!AG36,'Comptage Décadaire'!AG:AG,1,FALSE),"")</f>
        <v/>
      </c>
    </row>
    <row r="36" spans="1:32" x14ac:dyDescent="0.25">
      <c r="A36" s="25" t="str">
        <f>IF('Comptage Décadaire'!A37&lt;&gt;"",VLOOKUP('Comptage Décadaire'!A37,'Comptage Décadaire'!A:A,1,FALSE),"")</f>
        <v/>
      </c>
      <c r="B36" s="27" t="str">
        <f>IF('Comptage Décadaire'!B37&lt;&gt;"",VLOOKUP('Comptage Décadaire'!B37,'Comptage Décadaire'!B:B,1,FALSE),"")</f>
        <v/>
      </c>
      <c r="C36" s="28" t="str">
        <f>IF('Comptage Décadaire'!C37&lt;&gt;"",VLOOKUP('Comptage Décadaire'!C37,'Comptage Décadaire'!C:C,1,FALSE),"")</f>
        <v/>
      </c>
      <c r="D36" s="29" t="str">
        <f>IF('Comptage Décadaire'!D37&lt;&gt;"",VLOOKUP('Comptage Décadaire'!D37,Sites!$A:$B,2,FALSE),"")</f>
        <v/>
      </c>
      <c r="E36" s="29" t="str">
        <f>IF('Comptage Décadaire'!E37&lt;&gt;"",VLOOKUP('Comptage Décadaire'!E37,'Comptage Décadaire'!E:E,1,FALSE),"")</f>
        <v/>
      </c>
      <c r="F36" s="29" t="str">
        <f>IF('Comptage Décadaire'!F37&lt;&gt;"",VLOOKUP('Comptage Décadaire'!F37,Nomenclature!$B$2:$C$4,2,FALSE),"")</f>
        <v/>
      </c>
      <c r="G36" s="29" t="str">
        <f>IF('Comptage Décadaire'!G37&lt;&gt;"",VLOOKUP('Comptage Décadaire'!G37,'Comptage Décadaire'!G:G,1,FALSE),"")</f>
        <v/>
      </c>
      <c r="H36" s="29" t="str">
        <f>IF('Comptage Décadaire'!H37&lt;&gt;"",VLOOKUP('Comptage Décadaire'!H37,Nomenclature!$D$2:$E$7,2,FALSE),"")</f>
        <v/>
      </c>
      <c r="I36" s="30" t="str">
        <f>IF('Comptage Décadaire'!J37&lt;&gt;"",VLOOKUP('Comptage Décadaire'!J37,'Comptage Décadaire'!J:J,1,FALSE),"")</f>
        <v/>
      </c>
      <c r="J36" s="30" t="str">
        <f>IF('Comptage Décadaire'!K37&lt;&gt;"",VLOOKUP('Comptage Décadaire'!K37,'Comptage Décadaire'!K:K,1,FALSE),"")</f>
        <v/>
      </c>
      <c r="K36" s="30" t="str">
        <f>IF('Comptage Décadaire'!L37&lt;&gt;"",VLOOKUP('Comptage Décadaire'!L37,'Comptage Décadaire'!L:L,1,FALSE),"")</f>
        <v/>
      </c>
      <c r="L36" s="31" t="str">
        <f>IF('Comptage Décadaire'!M37&lt;&gt;"",VLOOKUP('Comptage Décadaire'!M37,'Comptage Décadaire'!M:M,1,FALSE),"")</f>
        <v/>
      </c>
      <c r="M36" s="33" t="str">
        <f>IF('Comptage Décadaire'!N37&lt;&gt;"",VLOOKUP('Comptage Décadaire'!N37,Utilisateurs!$D:$F,3,FALSE),"")</f>
        <v/>
      </c>
      <c r="N36" s="33" t="str">
        <f>IF('Comptage Décadaire'!O37&lt;&gt;"",VLOOKUP('Comptage Décadaire'!O37,Utilisateurs!$D:$F,3,FALSE),"")</f>
        <v/>
      </c>
      <c r="O36" s="33" t="str">
        <f>IF('Comptage Décadaire'!P37&lt;&gt;"",VLOOKUP('Comptage Décadaire'!P37,Utilisateurs!$D:$F,3,FALSE),"")</f>
        <v/>
      </c>
      <c r="P36" s="33" t="str">
        <f>IF('Comptage Décadaire'!Q37&lt;&gt;"",VLOOKUP('Comptage Décadaire'!Q37,Utilisateurs!$D:$F,3,FALSE),"")</f>
        <v/>
      </c>
      <c r="Q36" s="33" t="str">
        <f>IF('Comptage Décadaire'!R37&lt;&gt;"",VLOOKUP('Comptage Décadaire'!R37,Utilisateurs!$D:$F,3,FALSE),"")</f>
        <v/>
      </c>
      <c r="R36" s="30" t="str">
        <f>IF('Comptage Décadaire'!S37&lt;&gt;"",VLOOKUP('Comptage Décadaire'!S37,Nomenclature!$N:$O,2,FALSE),"")</f>
        <v/>
      </c>
      <c r="S36" s="30" t="str">
        <f>IF('Comptage Décadaire'!T37&lt;&gt;"",VLOOKUP('Comptage Décadaire'!T37,'Comptage Décadaire'!T:T,1,FALSE),"")</f>
        <v/>
      </c>
      <c r="T36" s="30" t="str">
        <f>IF('Comptage Décadaire'!U37&lt;&gt;"",VLOOKUP('Comptage Décadaire'!U37,'Comptage Décadaire'!U:U,1,FALSE),"")</f>
        <v/>
      </c>
      <c r="U36" s="30" t="str">
        <f>IF('Comptage Décadaire'!V37&lt;&gt;"",VLOOKUP('Comptage Décadaire'!V37,'Comptage Décadaire'!V:V,1,FALSE),"")</f>
        <v/>
      </c>
      <c r="V36" s="30" t="str">
        <f>IF('Comptage Décadaire'!W37&lt;&gt;"",VLOOKUP('Comptage Décadaire'!W37,'Comptage Décadaire'!W:W,1,FALSE),"")</f>
        <v/>
      </c>
      <c r="W36" s="30" t="str">
        <f>IF('Comptage Décadaire'!X37&lt;&gt;"",VLOOKUP('Comptage Décadaire'!X37,'Comptage Décadaire'!X:X,1,FALSE),"")</f>
        <v/>
      </c>
      <c r="X36" s="30" t="str">
        <f>IF('Comptage Décadaire'!Y37&lt;&gt;"",VLOOKUP('Comptage Décadaire'!Y37,'Comptage Décadaire'!Y:Y,1,FALSE),"")</f>
        <v/>
      </c>
      <c r="Y36" s="30" t="str">
        <f>IF('Comptage Décadaire'!Z37&lt;&gt;"",VLOOKUP('Comptage Décadaire'!Z37,Nomenclature!$F$2:$G$7,2,FALSE),"")</f>
        <v/>
      </c>
      <c r="Z36" s="30" t="str">
        <f>IF('Comptage Décadaire'!AA37&lt;&gt;"",VLOOKUP('Comptage Décadaire'!AA37,Nomenclature!$H$2:$I$31,2,FALSE),"")</f>
        <v/>
      </c>
      <c r="AA36" s="30" t="str">
        <f>IF('Comptage Décadaire'!AB37&lt;&gt;"",VLOOKUP('Comptage Décadaire'!AB37,Nomenclature!$J$2:$K$21,2,FALSE),"")</f>
        <v/>
      </c>
      <c r="AB36" s="30" t="str">
        <f>IF('Comptage Décadaire'!AC37&lt;&gt;"",VLOOKUP('Comptage Décadaire'!AC37,'Comptage Décadaire'!AC:AC,1,FALSE),"")</f>
        <v/>
      </c>
      <c r="AC36" s="32" t="str">
        <f>IF('Comptage Décadaire'!AD37&lt;&gt;"",VLOOKUP('Comptage Décadaire'!AD37,Nomenclature!$L$2:$M$8,2,FALSE),"")</f>
        <v/>
      </c>
      <c r="AD36" s="32" t="str">
        <f>IF('Comptage Décadaire'!AE37&lt;&gt;"",VLOOKUP('Comptage Décadaire'!AE37,Utilisateurs!$D$2:$F$81,3,FALSE),"")</f>
        <v/>
      </c>
      <c r="AE36" s="35" t="str">
        <f>IF('Comptage Décadaire'!AF37&lt;&gt;"",VLOOKUP('Comptage Décadaire'!AF37,'Comptage Décadaire'!AF:AF,1,FALSE),"")</f>
        <v/>
      </c>
      <c r="AF36" s="32" t="str">
        <f>IF('Comptage Décadaire'!AG37&lt;&gt;"",VLOOKUP('Comptage Décadaire'!AG37,'Comptage Décadaire'!AG:AG,1,FALSE),"")</f>
        <v/>
      </c>
    </row>
    <row r="37" spans="1:32" x14ac:dyDescent="0.25">
      <c r="A37" s="25" t="str">
        <f>IF('Comptage Décadaire'!A38&lt;&gt;"",VLOOKUP('Comptage Décadaire'!A38,'Comptage Décadaire'!A:A,1,FALSE),"")</f>
        <v/>
      </c>
      <c r="B37" s="27" t="str">
        <f>IF('Comptage Décadaire'!B38&lt;&gt;"",VLOOKUP('Comptage Décadaire'!B38,'Comptage Décadaire'!B:B,1,FALSE),"")</f>
        <v/>
      </c>
      <c r="C37" s="28" t="str">
        <f>IF('Comptage Décadaire'!C38&lt;&gt;"",VLOOKUP('Comptage Décadaire'!C38,'Comptage Décadaire'!C:C,1,FALSE),"")</f>
        <v/>
      </c>
      <c r="D37" s="29" t="str">
        <f>IF('Comptage Décadaire'!D38&lt;&gt;"",VLOOKUP('Comptage Décadaire'!D38,Sites!$A:$B,2,FALSE),"")</f>
        <v/>
      </c>
      <c r="E37" s="29" t="str">
        <f>IF('Comptage Décadaire'!E38&lt;&gt;"",VLOOKUP('Comptage Décadaire'!E38,'Comptage Décadaire'!E:E,1,FALSE),"")</f>
        <v/>
      </c>
      <c r="F37" s="29" t="str">
        <f>IF('Comptage Décadaire'!F38&lt;&gt;"",VLOOKUP('Comptage Décadaire'!F38,Nomenclature!$B$2:$C$4,2,FALSE),"")</f>
        <v/>
      </c>
      <c r="G37" s="29" t="str">
        <f>IF('Comptage Décadaire'!G38&lt;&gt;"",VLOOKUP('Comptage Décadaire'!G38,'Comptage Décadaire'!G:G,1,FALSE),"")</f>
        <v/>
      </c>
      <c r="H37" s="29" t="str">
        <f>IF('Comptage Décadaire'!H38&lt;&gt;"",VLOOKUP('Comptage Décadaire'!H38,Nomenclature!$D$2:$E$7,2,FALSE),"")</f>
        <v/>
      </c>
      <c r="I37" s="30" t="str">
        <f>IF('Comptage Décadaire'!J38&lt;&gt;"",VLOOKUP('Comptage Décadaire'!J38,'Comptage Décadaire'!J:J,1,FALSE),"")</f>
        <v/>
      </c>
      <c r="J37" s="30" t="str">
        <f>IF('Comptage Décadaire'!K38&lt;&gt;"",VLOOKUP('Comptage Décadaire'!K38,'Comptage Décadaire'!K:K,1,FALSE),"")</f>
        <v/>
      </c>
      <c r="K37" s="30" t="str">
        <f>IF('Comptage Décadaire'!L38&lt;&gt;"",VLOOKUP('Comptage Décadaire'!L38,'Comptage Décadaire'!L:L,1,FALSE),"")</f>
        <v/>
      </c>
      <c r="L37" s="31" t="str">
        <f>IF('Comptage Décadaire'!M38&lt;&gt;"",VLOOKUP('Comptage Décadaire'!M38,'Comptage Décadaire'!M:M,1,FALSE),"")</f>
        <v/>
      </c>
      <c r="M37" s="33" t="str">
        <f>IF('Comptage Décadaire'!N38&lt;&gt;"",VLOOKUP('Comptage Décadaire'!N38,Utilisateurs!$D:$F,3,FALSE),"")</f>
        <v/>
      </c>
      <c r="N37" s="33" t="str">
        <f>IF('Comptage Décadaire'!O38&lt;&gt;"",VLOOKUP('Comptage Décadaire'!O38,Utilisateurs!$D:$F,3,FALSE),"")</f>
        <v/>
      </c>
      <c r="O37" s="33" t="str">
        <f>IF('Comptage Décadaire'!P38&lt;&gt;"",VLOOKUP('Comptage Décadaire'!P38,Utilisateurs!$D:$F,3,FALSE),"")</f>
        <v/>
      </c>
      <c r="P37" s="33" t="str">
        <f>IF('Comptage Décadaire'!Q38&lt;&gt;"",VLOOKUP('Comptage Décadaire'!Q38,Utilisateurs!$D:$F,3,FALSE),"")</f>
        <v/>
      </c>
      <c r="Q37" s="33" t="str">
        <f>IF('Comptage Décadaire'!R38&lt;&gt;"",VLOOKUP('Comptage Décadaire'!R38,Utilisateurs!$D:$F,3,FALSE),"")</f>
        <v/>
      </c>
      <c r="R37" s="30" t="str">
        <f>IF('Comptage Décadaire'!S38&lt;&gt;"",VLOOKUP('Comptage Décadaire'!S38,Nomenclature!$N:$O,2,FALSE),"")</f>
        <v/>
      </c>
      <c r="S37" s="30" t="str">
        <f>IF('Comptage Décadaire'!T38&lt;&gt;"",VLOOKUP('Comptage Décadaire'!T38,'Comptage Décadaire'!T:T,1,FALSE),"")</f>
        <v/>
      </c>
      <c r="T37" s="30" t="str">
        <f>IF('Comptage Décadaire'!U38&lt;&gt;"",VLOOKUP('Comptage Décadaire'!U38,'Comptage Décadaire'!U:U,1,FALSE),"")</f>
        <v/>
      </c>
      <c r="U37" s="30" t="str">
        <f>IF('Comptage Décadaire'!V38&lt;&gt;"",VLOOKUP('Comptage Décadaire'!V38,'Comptage Décadaire'!V:V,1,FALSE),"")</f>
        <v/>
      </c>
      <c r="V37" s="30" t="str">
        <f>IF('Comptage Décadaire'!W38&lt;&gt;"",VLOOKUP('Comptage Décadaire'!W38,'Comptage Décadaire'!W:W,1,FALSE),"")</f>
        <v/>
      </c>
      <c r="W37" s="30" t="str">
        <f>IF('Comptage Décadaire'!X38&lt;&gt;"",VLOOKUP('Comptage Décadaire'!X38,'Comptage Décadaire'!X:X,1,FALSE),"")</f>
        <v/>
      </c>
      <c r="X37" s="30" t="str">
        <f>IF('Comptage Décadaire'!Y38&lt;&gt;"",VLOOKUP('Comptage Décadaire'!Y38,'Comptage Décadaire'!Y:Y,1,FALSE),"")</f>
        <v/>
      </c>
      <c r="Y37" s="30" t="str">
        <f>IF('Comptage Décadaire'!Z38&lt;&gt;"",VLOOKUP('Comptage Décadaire'!Z38,Nomenclature!$F$2:$G$7,2,FALSE),"")</f>
        <v/>
      </c>
      <c r="Z37" s="30" t="str">
        <f>IF('Comptage Décadaire'!AA38&lt;&gt;"",VLOOKUP('Comptage Décadaire'!AA38,Nomenclature!$H$2:$I$31,2,FALSE),"")</f>
        <v/>
      </c>
      <c r="AA37" s="30" t="str">
        <f>IF('Comptage Décadaire'!AB38&lt;&gt;"",VLOOKUP('Comptage Décadaire'!AB38,Nomenclature!$J$2:$K$21,2,FALSE),"")</f>
        <v/>
      </c>
      <c r="AB37" s="30" t="str">
        <f>IF('Comptage Décadaire'!AC38&lt;&gt;"",VLOOKUP('Comptage Décadaire'!AC38,'Comptage Décadaire'!AC:AC,1,FALSE),"")</f>
        <v/>
      </c>
      <c r="AC37" s="32" t="str">
        <f>IF('Comptage Décadaire'!AD38&lt;&gt;"",VLOOKUP('Comptage Décadaire'!AD38,Nomenclature!$L$2:$M$8,2,FALSE),"")</f>
        <v/>
      </c>
      <c r="AD37" s="32" t="str">
        <f>IF('Comptage Décadaire'!AE38&lt;&gt;"",VLOOKUP('Comptage Décadaire'!AE38,Utilisateurs!$D$2:$F$81,3,FALSE),"")</f>
        <v/>
      </c>
      <c r="AE37" s="35" t="str">
        <f>IF('Comptage Décadaire'!AF38&lt;&gt;"",VLOOKUP('Comptage Décadaire'!AF38,'Comptage Décadaire'!AF:AF,1,FALSE),"")</f>
        <v/>
      </c>
      <c r="AF37" s="32" t="str">
        <f>IF('Comptage Décadaire'!AG38&lt;&gt;"",VLOOKUP('Comptage Décadaire'!AG38,'Comptage Décadaire'!AG:AG,1,FALSE),"")</f>
        <v/>
      </c>
    </row>
    <row r="38" spans="1:32" x14ac:dyDescent="0.25">
      <c r="A38" s="25" t="str">
        <f>IF('Comptage Décadaire'!A39&lt;&gt;"",VLOOKUP('Comptage Décadaire'!A39,'Comptage Décadaire'!A:A,1,FALSE),"")</f>
        <v/>
      </c>
      <c r="B38" s="27" t="str">
        <f>IF('Comptage Décadaire'!B39&lt;&gt;"",VLOOKUP('Comptage Décadaire'!B39,'Comptage Décadaire'!B:B,1,FALSE),"")</f>
        <v/>
      </c>
      <c r="C38" s="28" t="str">
        <f>IF('Comptage Décadaire'!C39&lt;&gt;"",VLOOKUP('Comptage Décadaire'!C39,'Comptage Décadaire'!C:C,1,FALSE),"")</f>
        <v/>
      </c>
      <c r="D38" s="29" t="str">
        <f>IF('Comptage Décadaire'!D39&lt;&gt;"",VLOOKUP('Comptage Décadaire'!D39,Sites!$A:$B,2,FALSE),"")</f>
        <v/>
      </c>
      <c r="E38" s="29" t="str">
        <f>IF('Comptage Décadaire'!E39&lt;&gt;"",VLOOKUP('Comptage Décadaire'!E39,'Comptage Décadaire'!E:E,1,FALSE),"")</f>
        <v/>
      </c>
      <c r="F38" s="29" t="str">
        <f>IF('Comptage Décadaire'!F39&lt;&gt;"",VLOOKUP('Comptage Décadaire'!F39,Nomenclature!$B$2:$C$4,2,FALSE),"")</f>
        <v/>
      </c>
      <c r="G38" s="29" t="str">
        <f>IF('Comptage Décadaire'!G39&lt;&gt;"",VLOOKUP('Comptage Décadaire'!G39,'Comptage Décadaire'!G:G,1,FALSE),"")</f>
        <v/>
      </c>
      <c r="H38" s="29" t="str">
        <f>IF('Comptage Décadaire'!H39&lt;&gt;"",VLOOKUP('Comptage Décadaire'!H39,Nomenclature!$D$2:$E$7,2,FALSE),"")</f>
        <v/>
      </c>
      <c r="I38" s="30" t="str">
        <f>IF('Comptage Décadaire'!J39&lt;&gt;"",VLOOKUP('Comptage Décadaire'!J39,'Comptage Décadaire'!J:J,1,FALSE),"")</f>
        <v/>
      </c>
      <c r="J38" s="30" t="str">
        <f>IF('Comptage Décadaire'!K39&lt;&gt;"",VLOOKUP('Comptage Décadaire'!K39,'Comptage Décadaire'!K:K,1,FALSE),"")</f>
        <v/>
      </c>
      <c r="K38" s="30" t="str">
        <f>IF('Comptage Décadaire'!L39&lt;&gt;"",VLOOKUP('Comptage Décadaire'!L39,'Comptage Décadaire'!L:L,1,FALSE),"")</f>
        <v/>
      </c>
      <c r="L38" s="31" t="str">
        <f>IF('Comptage Décadaire'!M39&lt;&gt;"",VLOOKUP('Comptage Décadaire'!M39,'Comptage Décadaire'!M:M,1,FALSE),"")</f>
        <v/>
      </c>
      <c r="M38" s="33" t="str">
        <f>IF('Comptage Décadaire'!N39&lt;&gt;"",VLOOKUP('Comptage Décadaire'!N39,Utilisateurs!$D:$F,3,FALSE),"")</f>
        <v/>
      </c>
      <c r="N38" s="33" t="str">
        <f>IF('Comptage Décadaire'!O39&lt;&gt;"",VLOOKUP('Comptage Décadaire'!O39,Utilisateurs!$D:$F,3,FALSE),"")</f>
        <v/>
      </c>
      <c r="O38" s="33" t="str">
        <f>IF('Comptage Décadaire'!P39&lt;&gt;"",VLOOKUP('Comptage Décadaire'!P39,Utilisateurs!$D:$F,3,FALSE),"")</f>
        <v/>
      </c>
      <c r="P38" s="33" t="str">
        <f>IF('Comptage Décadaire'!Q39&lt;&gt;"",VLOOKUP('Comptage Décadaire'!Q39,Utilisateurs!$D:$F,3,FALSE),"")</f>
        <v/>
      </c>
      <c r="Q38" s="33" t="str">
        <f>IF('Comptage Décadaire'!R39&lt;&gt;"",VLOOKUP('Comptage Décadaire'!R39,Utilisateurs!$D:$F,3,FALSE),"")</f>
        <v/>
      </c>
      <c r="R38" s="30" t="str">
        <f>IF('Comptage Décadaire'!S39&lt;&gt;"",VLOOKUP('Comptage Décadaire'!S39,Nomenclature!$N:$O,2,FALSE),"")</f>
        <v/>
      </c>
      <c r="S38" s="30" t="str">
        <f>IF('Comptage Décadaire'!T39&lt;&gt;"",VLOOKUP('Comptage Décadaire'!T39,'Comptage Décadaire'!T:T,1,FALSE),"")</f>
        <v/>
      </c>
      <c r="T38" s="30" t="str">
        <f>IF('Comptage Décadaire'!U39&lt;&gt;"",VLOOKUP('Comptage Décadaire'!U39,'Comptage Décadaire'!U:U,1,FALSE),"")</f>
        <v/>
      </c>
      <c r="U38" s="30" t="str">
        <f>IF('Comptage Décadaire'!V39&lt;&gt;"",VLOOKUP('Comptage Décadaire'!V39,'Comptage Décadaire'!V:V,1,FALSE),"")</f>
        <v/>
      </c>
      <c r="V38" s="30" t="str">
        <f>IF('Comptage Décadaire'!W39&lt;&gt;"",VLOOKUP('Comptage Décadaire'!W39,'Comptage Décadaire'!W:W,1,FALSE),"")</f>
        <v/>
      </c>
      <c r="W38" s="30" t="str">
        <f>IF('Comptage Décadaire'!X39&lt;&gt;"",VLOOKUP('Comptage Décadaire'!X39,'Comptage Décadaire'!X:X,1,FALSE),"")</f>
        <v/>
      </c>
      <c r="X38" s="30" t="str">
        <f>IF('Comptage Décadaire'!Y39&lt;&gt;"",VLOOKUP('Comptage Décadaire'!Y39,'Comptage Décadaire'!Y:Y,1,FALSE),"")</f>
        <v/>
      </c>
      <c r="Y38" s="30" t="str">
        <f>IF('Comptage Décadaire'!Z39&lt;&gt;"",VLOOKUP('Comptage Décadaire'!Z39,Nomenclature!$F$2:$G$7,2,FALSE),"")</f>
        <v/>
      </c>
      <c r="Z38" s="30" t="str">
        <f>IF('Comptage Décadaire'!AA39&lt;&gt;"",VLOOKUP('Comptage Décadaire'!AA39,Nomenclature!$H$2:$I$31,2,FALSE),"")</f>
        <v/>
      </c>
      <c r="AA38" s="30" t="str">
        <f>IF('Comptage Décadaire'!AB39&lt;&gt;"",VLOOKUP('Comptage Décadaire'!AB39,Nomenclature!$J$2:$K$21,2,FALSE),"")</f>
        <v/>
      </c>
      <c r="AB38" s="30" t="str">
        <f>IF('Comptage Décadaire'!AC39&lt;&gt;"",VLOOKUP('Comptage Décadaire'!AC39,'Comptage Décadaire'!AC:AC,1,FALSE),"")</f>
        <v/>
      </c>
      <c r="AC38" s="32" t="str">
        <f>IF('Comptage Décadaire'!AD39&lt;&gt;"",VLOOKUP('Comptage Décadaire'!AD39,Nomenclature!$L$2:$M$8,2,FALSE),"")</f>
        <v/>
      </c>
      <c r="AD38" s="32" t="str">
        <f>IF('Comptage Décadaire'!AE39&lt;&gt;"",VLOOKUP('Comptage Décadaire'!AE39,Utilisateurs!$D$2:$F$81,3,FALSE),"")</f>
        <v/>
      </c>
      <c r="AE38" s="35" t="str">
        <f>IF('Comptage Décadaire'!AF39&lt;&gt;"",VLOOKUP('Comptage Décadaire'!AF39,'Comptage Décadaire'!AF:AF,1,FALSE),"")</f>
        <v/>
      </c>
      <c r="AF38" s="32" t="str">
        <f>IF('Comptage Décadaire'!AG39&lt;&gt;"",VLOOKUP('Comptage Décadaire'!AG39,'Comptage Décadaire'!AG:AG,1,FALSE),"")</f>
        <v/>
      </c>
    </row>
    <row r="39" spans="1:32" x14ac:dyDescent="0.25">
      <c r="A39" s="25" t="str">
        <f>IF('Comptage Décadaire'!A40&lt;&gt;"",VLOOKUP('Comptage Décadaire'!A40,'Comptage Décadaire'!A:A,1,FALSE),"")</f>
        <v/>
      </c>
      <c r="B39" s="27" t="str">
        <f>IF('Comptage Décadaire'!B40&lt;&gt;"",VLOOKUP('Comptage Décadaire'!B40,'Comptage Décadaire'!B:B,1,FALSE),"")</f>
        <v/>
      </c>
      <c r="C39" s="28" t="str">
        <f>IF('Comptage Décadaire'!C40&lt;&gt;"",VLOOKUP('Comptage Décadaire'!C40,'Comptage Décadaire'!C:C,1,FALSE),"")</f>
        <v/>
      </c>
      <c r="D39" s="29" t="str">
        <f>IF('Comptage Décadaire'!D40&lt;&gt;"",VLOOKUP('Comptage Décadaire'!D40,Sites!$A:$B,2,FALSE),"")</f>
        <v/>
      </c>
      <c r="E39" s="29" t="str">
        <f>IF('Comptage Décadaire'!E40&lt;&gt;"",VLOOKUP('Comptage Décadaire'!E40,'Comptage Décadaire'!E:E,1,FALSE),"")</f>
        <v/>
      </c>
      <c r="F39" s="29" t="str">
        <f>IF('Comptage Décadaire'!F40&lt;&gt;"",VLOOKUP('Comptage Décadaire'!F40,Nomenclature!$B$2:$C$4,2,FALSE),"")</f>
        <v/>
      </c>
      <c r="G39" s="29" t="str">
        <f>IF('Comptage Décadaire'!G40&lt;&gt;"",VLOOKUP('Comptage Décadaire'!G40,'Comptage Décadaire'!G:G,1,FALSE),"")</f>
        <v/>
      </c>
      <c r="H39" s="29" t="str">
        <f>IF('Comptage Décadaire'!H40&lt;&gt;"",VLOOKUP('Comptage Décadaire'!H40,Nomenclature!$D$2:$E$7,2,FALSE),"")</f>
        <v/>
      </c>
      <c r="I39" s="30" t="str">
        <f>IF('Comptage Décadaire'!J40&lt;&gt;"",VLOOKUP('Comptage Décadaire'!J40,'Comptage Décadaire'!J:J,1,FALSE),"")</f>
        <v/>
      </c>
      <c r="J39" s="30" t="str">
        <f>IF('Comptage Décadaire'!K40&lt;&gt;"",VLOOKUP('Comptage Décadaire'!K40,'Comptage Décadaire'!K:K,1,FALSE),"")</f>
        <v/>
      </c>
      <c r="K39" s="30" t="str">
        <f>IF('Comptage Décadaire'!L40&lt;&gt;"",VLOOKUP('Comptage Décadaire'!L40,'Comptage Décadaire'!L:L,1,FALSE),"")</f>
        <v/>
      </c>
      <c r="L39" s="31" t="str">
        <f>IF('Comptage Décadaire'!M40&lt;&gt;"",VLOOKUP('Comptage Décadaire'!M40,'Comptage Décadaire'!M:M,1,FALSE),"")</f>
        <v/>
      </c>
      <c r="M39" s="33" t="str">
        <f>IF('Comptage Décadaire'!N40&lt;&gt;"",VLOOKUP('Comptage Décadaire'!N40,Utilisateurs!$D:$F,3,FALSE),"")</f>
        <v/>
      </c>
      <c r="N39" s="33" t="str">
        <f>IF('Comptage Décadaire'!O40&lt;&gt;"",VLOOKUP('Comptage Décadaire'!O40,Utilisateurs!$D:$F,3,FALSE),"")</f>
        <v/>
      </c>
      <c r="O39" s="33" t="str">
        <f>IF('Comptage Décadaire'!P40&lt;&gt;"",VLOOKUP('Comptage Décadaire'!P40,Utilisateurs!$D:$F,3,FALSE),"")</f>
        <v/>
      </c>
      <c r="P39" s="33" t="str">
        <f>IF('Comptage Décadaire'!Q40&lt;&gt;"",VLOOKUP('Comptage Décadaire'!Q40,Utilisateurs!$D:$F,3,FALSE),"")</f>
        <v/>
      </c>
      <c r="Q39" s="33" t="str">
        <f>IF('Comptage Décadaire'!R40&lt;&gt;"",VLOOKUP('Comptage Décadaire'!R40,Utilisateurs!$D:$F,3,FALSE),"")</f>
        <v/>
      </c>
      <c r="R39" s="30" t="str">
        <f>IF('Comptage Décadaire'!S40&lt;&gt;"",VLOOKUP('Comptage Décadaire'!S40,Nomenclature!$N:$O,2,FALSE),"")</f>
        <v/>
      </c>
      <c r="S39" s="30" t="str">
        <f>IF('Comptage Décadaire'!T40&lt;&gt;"",VLOOKUP('Comptage Décadaire'!T40,'Comptage Décadaire'!T:T,1,FALSE),"")</f>
        <v/>
      </c>
      <c r="T39" s="30" t="str">
        <f>IF('Comptage Décadaire'!U40&lt;&gt;"",VLOOKUP('Comptage Décadaire'!U40,'Comptage Décadaire'!U:U,1,FALSE),"")</f>
        <v/>
      </c>
      <c r="U39" s="30" t="str">
        <f>IF('Comptage Décadaire'!V40&lt;&gt;"",VLOOKUP('Comptage Décadaire'!V40,'Comptage Décadaire'!V:V,1,FALSE),"")</f>
        <v/>
      </c>
      <c r="V39" s="30" t="str">
        <f>IF('Comptage Décadaire'!W40&lt;&gt;"",VLOOKUP('Comptage Décadaire'!W40,'Comptage Décadaire'!W:W,1,FALSE),"")</f>
        <v/>
      </c>
      <c r="W39" s="30" t="str">
        <f>IF('Comptage Décadaire'!X40&lt;&gt;"",VLOOKUP('Comptage Décadaire'!X40,'Comptage Décadaire'!X:X,1,FALSE),"")</f>
        <v/>
      </c>
      <c r="X39" s="30" t="str">
        <f>IF('Comptage Décadaire'!Y40&lt;&gt;"",VLOOKUP('Comptage Décadaire'!Y40,'Comptage Décadaire'!Y:Y,1,FALSE),"")</f>
        <v/>
      </c>
      <c r="Y39" s="30" t="str">
        <f>IF('Comptage Décadaire'!Z40&lt;&gt;"",VLOOKUP('Comptage Décadaire'!Z40,Nomenclature!$F$2:$G$7,2,FALSE),"")</f>
        <v/>
      </c>
      <c r="Z39" s="30" t="str">
        <f>IF('Comptage Décadaire'!AA40&lt;&gt;"",VLOOKUP('Comptage Décadaire'!AA40,Nomenclature!$H$2:$I$31,2,FALSE),"")</f>
        <v/>
      </c>
      <c r="AA39" s="30" t="str">
        <f>IF('Comptage Décadaire'!AB40&lt;&gt;"",VLOOKUP('Comptage Décadaire'!AB40,Nomenclature!$J$2:$K$21,2,FALSE),"")</f>
        <v/>
      </c>
      <c r="AB39" s="30" t="str">
        <f>IF('Comptage Décadaire'!AC40&lt;&gt;"",VLOOKUP('Comptage Décadaire'!AC40,'Comptage Décadaire'!AC:AC,1,FALSE),"")</f>
        <v/>
      </c>
      <c r="AC39" s="32" t="str">
        <f>IF('Comptage Décadaire'!AD40&lt;&gt;"",VLOOKUP('Comptage Décadaire'!AD40,Nomenclature!$L$2:$M$8,2,FALSE),"")</f>
        <v/>
      </c>
      <c r="AD39" s="32" t="str">
        <f>IF('Comptage Décadaire'!AE40&lt;&gt;"",VLOOKUP('Comptage Décadaire'!AE40,Utilisateurs!$D$2:$F$81,3,FALSE),"")</f>
        <v/>
      </c>
      <c r="AE39" s="35" t="str">
        <f>IF('Comptage Décadaire'!AF40&lt;&gt;"",VLOOKUP('Comptage Décadaire'!AF40,'Comptage Décadaire'!AF:AF,1,FALSE),"")</f>
        <v/>
      </c>
      <c r="AF39" s="32" t="str">
        <f>IF('Comptage Décadaire'!AG40&lt;&gt;"",VLOOKUP('Comptage Décadaire'!AG40,'Comptage Décadaire'!AG:AG,1,FALSE),"")</f>
        <v/>
      </c>
    </row>
    <row r="40" spans="1:32" x14ac:dyDescent="0.25">
      <c r="A40" s="25" t="str">
        <f>IF('Comptage Décadaire'!A41&lt;&gt;"",VLOOKUP('Comptage Décadaire'!A41,'Comptage Décadaire'!A:A,1,FALSE),"")</f>
        <v/>
      </c>
      <c r="B40" s="27" t="str">
        <f>IF('Comptage Décadaire'!B41&lt;&gt;"",VLOOKUP('Comptage Décadaire'!B41,'Comptage Décadaire'!B:B,1,FALSE),"")</f>
        <v/>
      </c>
      <c r="C40" s="28" t="str">
        <f>IF('Comptage Décadaire'!C41&lt;&gt;"",VLOOKUP('Comptage Décadaire'!C41,'Comptage Décadaire'!C:C,1,FALSE),"")</f>
        <v/>
      </c>
      <c r="D40" s="29" t="str">
        <f>IF('Comptage Décadaire'!D41&lt;&gt;"",VLOOKUP('Comptage Décadaire'!D41,Sites!$A:$B,2,FALSE),"")</f>
        <v/>
      </c>
      <c r="E40" s="29" t="str">
        <f>IF('Comptage Décadaire'!E41&lt;&gt;"",VLOOKUP('Comptage Décadaire'!E41,'Comptage Décadaire'!E:E,1,FALSE),"")</f>
        <v/>
      </c>
      <c r="F40" s="29" t="str">
        <f>IF('Comptage Décadaire'!F41&lt;&gt;"",VLOOKUP('Comptage Décadaire'!F41,Nomenclature!$B$2:$C$4,2,FALSE),"")</f>
        <v/>
      </c>
      <c r="G40" s="29" t="str">
        <f>IF('Comptage Décadaire'!G41&lt;&gt;"",VLOOKUP('Comptage Décadaire'!G41,'Comptage Décadaire'!G:G,1,FALSE),"")</f>
        <v/>
      </c>
      <c r="H40" s="29" t="str">
        <f>IF('Comptage Décadaire'!H41&lt;&gt;"",VLOOKUP('Comptage Décadaire'!H41,Nomenclature!$D$2:$E$7,2,FALSE),"")</f>
        <v/>
      </c>
      <c r="I40" s="30" t="str">
        <f>IF('Comptage Décadaire'!J41&lt;&gt;"",VLOOKUP('Comptage Décadaire'!J41,'Comptage Décadaire'!J:J,1,FALSE),"")</f>
        <v/>
      </c>
      <c r="J40" s="30" t="str">
        <f>IF('Comptage Décadaire'!K41&lt;&gt;"",VLOOKUP('Comptage Décadaire'!K41,'Comptage Décadaire'!K:K,1,FALSE),"")</f>
        <v/>
      </c>
      <c r="K40" s="30" t="str">
        <f>IF('Comptage Décadaire'!L41&lt;&gt;"",VLOOKUP('Comptage Décadaire'!L41,'Comptage Décadaire'!L:L,1,FALSE),"")</f>
        <v/>
      </c>
      <c r="L40" s="31" t="str">
        <f>IF('Comptage Décadaire'!M41&lt;&gt;"",VLOOKUP('Comptage Décadaire'!M41,'Comptage Décadaire'!M:M,1,FALSE),"")</f>
        <v/>
      </c>
      <c r="M40" s="33" t="str">
        <f>IF('Comptage Décadaire'!N41&lt;&gt;"",VLOOKUP('Comptage Décadaire'!N41,Utilisateurs!$D:$F,3,FALSE),"")</f>
        <v/>
      </c>
      <c r="N40" s="33" t="str">
        <f>IF('Comptage Décadaire'!O41&lt;&gt;"",VLOOKUP('Comptage Décadaire'!O41,Utilisateurs!$D:$F,3,FALSE),"")</f>
        <v/>
      </c>
      <c r="O40" s="33" t="str">
        <f>IF('Comptage Décadaire'!P41&lt;&gt;"",VLOOKUP('Comptage Décadaire'!P41,Utilisateurs!$D:$F,3,FALSE),"")</f>
        <v/>
      </c>
      <c r="P40" s="33" t="str">
        <f>IF('Comptage Décadaire'!Q41&lt;&gt;"",VLOOKUP('Comptage Décadaire'!Q41,Utilisateurs!$D:$F,3,FALSE),"")</f>
        <v/>
      </c>
      <c r="Q40" s="33" t="str">
        <f>IF('Comptage Décadaire'!R41&lt;&gt;"",VLOOKUP('Comptage Décadaire'!R41,Utilisateurs!$D:$F,3,FALSE),"")</f>
        <v/>
      </c>
      <c r="R40" s="30" t="str">
        <f>IF('Comptage Décadaire'!S41&lt;&gt;"",VLOOKUP('Comptage Décadaire'!S41,Nomenclature!$N:$O,2,FALSE),"")</f>
        <v/>
      </c>
      <c r="S40" s="30" t="str">
        <f>IF('Comptage Décadaire'!T41&lt;&gt;"",VLOOKUP('Comptage Décadaire'!T41,'Comptage Décadaire'!T:T,1,FALSE),"")</f>
        <v/>
      </c>
      <c r="T40" s="30" t="str">
        <f>IF('Comptage Décadaire'!U41&lt;&gt;"",VLOOKUP('Comptage Décadaire'!U41,'Comptage Décadaire'!U:U,1,FALSE),"")</f>
        <v/>
      </c>
      <c r="U40" s="30" t="str">
        <f>IF('Comptage Décadaire'!V41&lt;&gt;"",VLOOKUP('Comptage Décadaire'!V41,'Comptage Décadaire'!V:V,1,FALSE),"")</f>
        <v/>
      </c>
      <c r="V40" s="30" t="str">
        <f>IF('Comptage Décadaire'!W41&lt;&gt;"",VLOOKUP('Comptage Décadaire'!W41,'Comptage Décadaire'!W:W,1,FALSE),"")</f>
        <v/>
      </c>
      <c r="W40" s="30" t="str">
        <f>IF('Comptage Décadaire'!X41&lt;&gt;"",VLOOKUP('Comptage Décadaire'!X41,'Comptage Décadaire'!X:X,1,FALSE),"")</f>
        <v/>
      </c>
      <c r="X40" s="30" t="str">
        <f>IF('Comptage Décadaire'!Y41&lt;&gt;"",VLOOKUP('Comptage Décadaire'!Y41,'Comptage Décadaire'!Y:Y,1,FALSE),"")</f>
        <v/>
      </c>
      <c r="Y40" s="30" t="str">
        <f>IF('Comptage Décadaire'!Z41&lt;&gt;"",VLOOKUP('Comptage Décadaire'!Z41,Nomenclature!$F$2:$G$7,2,FALSE),"")</f>
        <v/>
      </c>
      <c r="Z40" s="30" t="str">
        <f>IF('Comptage Décadaire'!AA41&lt;&gt;"",VLOOKUP('Comptage Décadaire'!AA41,Nomenclature!$H$2:$I$31,2,FALSE),"")</f>
        <v/>
      </c>
      <c r="AA40" s="30" t="str">
        <f>IF('Comptage Décadaire'!AB41&lt;&gt;"",VLOOKUP('Comptage Décadaire'!AB41,Nomenclature!$J$2:$K$21,2,FALSE),"")</f>
        <v/>
      </c>
      <c r="AB40" s="30" t="str">
        <f>IF('Comptage Décadaire'!AC41&lt;&gt;"",VLOOKUP('Comptage Décadaire'!AC41,'Comptage Décadaire'!AC:AC,1,FALSE),"")</f>
        <v/>
      </c>
      <c r="AC40" s="32" t="str">
        <f>IF('Comptage Décadaire'!AD41&lt;&gt;"",VLOOKUP('Comptage Décadaire'!AD41,Nomenclature!$L$2:$M$8,2,FALSE),"")</f>
        <v/>
      </c>
      <c r="AD40" s="32" t="str">
        <f>IF('Comptage Décadaire'!AE41&lt;&gt;"",VLOOKUP('Comptage Décadaire'!AE41,Utilisateurs!$D$2:$F$81,3,FALSE),"")</f>
        <v/>
      </c>
      <c r="AE40" s="35" t="str">
        <f>IF('Comptage Décadaire'!AF41&lt;&gt;"",VLOOKUP('Comptage Décadaire'!AF41,'Comptage Décadaire'!AF:AF,1,FALSE),"")</f>
        <v/>
      </c>
      <c r="AF40" s="32" t="str">
        <f>IF('Comptage Décadaire'!AG41&lt;&gt;"",VLOOKUP('Comptage Décadaire'!AG41,'Comptage Décadaire'!AG:AG,1,FALSE),"")</f>
        <v/>
      </c>
    </row>
    <row r="41" spans="1:32" x14ac:dyDescent="0.25">
      <c r="A41" s="25" t="str">
        <f>IF('Comptage Décadaire'!A42&lt;&gt;"",VLOOKUP('Comptage Décadaire'!A42,'Comptage Décadaire'!A:A,1,FALSE),"")</f>
        <v/>
      </c>
      <c r="B41" s="27" t="str">
        <f>IF('Comptage Décadaire'!B42&lt;&gt;"",VLOOKUP('Comptage Décadaire'!B42,'Comptage Décadaire'!B:B,1,FALSE),"")</f>
        <v/>
      </c>
      <c r="C41" s="28" t="str">
        <f>IF('Comptage Décadaire'!C42&lt;&gt;"",VLOOKUP('Comptage Décadaire'!C42,'Comptage Décadaire'!C:C,1,FALSE),"")</f>
        <v/>
      </c>
      <c r="D41" s="29" t="str">
        <f>IF('Comptage Décadaire'!D42&lt;&gt;"",VLOOKUP('Comptage Décadaire'!D42,Sites!$A:$B,2,FALSE),"")</f>
        <v/>
      </c>
      <c r="E41" s="29" t="str">
        <f>IF('Comptage Décadaire'!E42&lt;&gt;"",VLOOKUP('Comptage Décadaire'!E42,'Comptage Décadaire'!E:E,1,FALSE),"")</f>
        <v/>
      </c>
      <c r="F41" s="29" t="str">
        <f>IF('Comptage Décadaire'!F42&lt;&gt;"",VLOOKUP('Comptage Décadaire'!F42,Nomenclature!$B$2:$C$4,2,FALSE),"")</f>
        <v/>
      </c>
      <c r="G41" s="29" t="str">
        <f>IF('Comptage Décadaire'!G42&lt;&gt;"",VLOOKUP('Comptage Décadaire'!G42,'Comptage Décadaire'!G:G,1,FALSE),"")</f>
        <v/>
      </c>
      <c r="H41" s="29" t="str">
        <f>IF('Comptage Décadaire'!H42&lt;&gt;"",VLOOKUP('Comptage Décadaire'!H42,Nomenclature!$D$2:$E$7,2,FALSE),"")</f>
        <v/>
      </c>
      <c r="I41" s="30" t="str">
        <f>IF('Comptage Décadaire'!J42&lt;&gt;"",VLOOKUP('Comptage Décadaire'!J42,'Comptage Décadaire'!J:J,1,FALSE),"")</f>
        <v/>
      </c>
      <c r="J41" s="30" t="str">
        <f>IF('Comptage Décadaire'!K42&lt;&gt;"",VLOOKUP('Comptage Décadaire'!K42,'Comptage Décadaire'!K:K,1,FALSE),"")</f>
        <v/>
      </c>
      <c r="K41" s="30" t="str">
        <f>IF('Comptage Décadaire'!L42&lt;&gt;"",VLOOKUP('Comptage Décadaire'!L42,'Comptage Décadaire'!L:L,1,FALSE),"")</f>
        <v/>
      </c>
      <c r="L41" s="31" t="str">
        <f>IF('Comptage Décadaire'!M42&lt;&gt;"",VLOOKUP('Comptage Décadaire'!M42,'Comptage Décadaire'!M:M,1,FALSE),"")</f>
        <v/>
      </c>
      <c r="M41" s="33" t="str">
        <f>IF('Comptage Décadaire'!N42&lt;&gt;"",VLOOKUP('Comptage Décadaire'!N42,Utilisateurs!$D:$F,3,FALSE),"")</f>
        <v/>
      </c>
      <c r="N41" s="33" t="str">
        <f>IF('Comptage Décadaire'!O42&lt;&gt;"",VLOOKUP('Comptage Décadaire'!O42,Utilisateurs!$D:$F,3,FALSE),"")</f>
        <v/>
      </c>
      <c r="O41" s="33" t="str">
        <f>IF('Comptage Décadaire'!P42&lt;&gt;"",VLOOKUP('Comptage Décadaire'!P42,Utilisateurs!$D:$F,3,FALSE),"")</f>
        <v/>
      </c>
      <c r="P41" s="33" t="str">
        <f>IF('Comptage Décadaire'!Q42&lt;&gt;"",VLOOKUP('Comptage Décadaire'!Q42,Utilisateurs!$D:$F,3,FALSE),"")</f>
        <v/>
      </c>
      <c r="Q41" s="33" t="str">
        <f>IF('Comptage Décadaire'!R42&lt;&gt;"",VLOOKUP('Comptage Décadaire'!R42,Utilisateurs!$D:$F,3,FALSE),"")</f>
        <v/>
      </c>
      <c r="R41" s="30" t="str">
        <f>IF('Comptage Décadaire'!S42&lt;&gt;"",VLOOKUP('Comptage Décadaire'!S42,Nomenclature!$N:$O,2,FALSE),"")</f>
        <v/>
      </c>
      <c r="S41" s="30" t="str">
        <f>IF('Comptage Décadaire'!T42&lt;&gt;"",VLOOKUP('Comptage Décadaire'!T42,'Comptage Décadaire'!T:T,1,FALSE),"")</f>
        <v/>
      </c>
      <c r="T41" s="30" t="str">
        <f>IF('Comptage Décadaire'!U42&lt;&gt;"",VLOOKUP('Comptage Décadaire'!U42,'Comptage Décadaire'!U:U,1,FALSE),"")</f>
        <v/>
      </c>
      <c r="U41" s="30" t="str">
        <f>IF('Comptage Décadaire'!V42&lt;&gt;"",VLOOKUP('Comptage Décadaire'!V42,'Comptage Décadaire'!V:V,1,FALSE),"")</f>
        <v/>
      </c>
      <c r="V41" s="30" t="str">
        <f>IF('Comptage Décadaire'!W42&lt;&gt;"",VLOOKUP('Comptage Décadaire'!W42,'Comptage Décadaire'!W:W,1,FALSE),"")</f>
        <v/>
      </c>
      <c r="W41" s="30" t="str">
        <f>IF('Comptage Décadaire'!X42&lt;&gt;"",VLOOKUP('Comptage Décadaire'!X42,'Comptage Décadaire'!X:X,1,FALSE),"")</f>
        <v/>
      </c>
      <c r="X41" s="30" t="str">
        <f>IF('Comptage Décadaire'!Y42&lt;&gt;"",VLOOKUP('Comptage Décadaire'!Y42,'Comptage Décadaire'!Y:Y,1,FALSE),"")</f>
        <v/>
      </c>
      <c r="Y41" s="30" t="str">
        <f>IF('Comptage Décadaire'!Z42&lt;&gt;"",VLOOKUP('Comptage Décadaire'!Z42,Nomenclature!$F$2:$G$7,2,FALSE),"")</f>
        <v/>
      </c>
      <c r="Z41" s="30" t="str">
        <f>IF('Comptage Décadaire'!AA42&lt;&gt;"",VLOOKUP('Comptage Décadaire'!AA42,Nomenclature!$H$2:$I$31,2,FALSE),"")</f>
        <v/>
      </c>
      <c r="AA41" s="30" t="str">
        <f>IF('Comptage Décadaire'!AB42&lt;&gt;"",VLOOKUP('Comptage Décadaire'!AB42,Nomenclature!$J$2:$K$21,2,FALSE),"")</f>
        <v/>
      </c>
      <c r="AB41" s="30" t="str">
        <f>IF('Comptage Décadaire'!AC42&lt;&gt;"",VLOOKUP('Comptage Décadaire'!AC42,'Comptage Décadaire'!AC:AC,1,FALSE),"")</f>
        <v/>
      </c>
      <c r="AC41" s="32" t="str">
        <f>IF('Comptage Décadaire'!AD42&lt;&gt;"",VLOOKUP('Comptage Décadaire'!AD42,Nomenclature!$L$2:$M$8,2,FALSE),"")</f>
        <v/>
      </c>
      <c r="AD41" s="32" t="str">
        <f>IF('Comptage Décadaire'!AE42&lt;&gt;"",VLOOKUP('Comptage Décadaire'!AE42,Utilisateurs!$D$2:$F$81,3,FALSE),"")</f>
        <v/>
      </c>
      <c r="AE41" s="35" t="str">
        <f>IF('Comptage Décadaire'!AF42&lt;&gt;"",VLOOKUP('Comptage Décadaire'!AF42,'Comptage Décadaire'!AF:AF,1,FALSE),"")</f>
        <v/>
      </c>
      <c r="AF41" s="32" t="str">
        <f>IF('Comptage Décadaire'!AG42&lt;&gt;"",VLOOKUP('Comptage Décadaire'!AG42,'Comptage Décadaire'!AG:AG,1,FALSE),"")</f>
        <v/>
      </c>
    </row>
    <row r="42" spans="1:32" x14ac:dyDescent="0.25">
      <c r="A42" s="25" t="str">
        <f>IF('Comptage Décadaire'!A43&lt;&gt;"",VLOOKUP('Comptage Décadaire'!A43,'Comptage Décadaire'!A:A,1,FALSE),"")</f>
        <v/>
      </c>
      <c r="B42" s="27" t="str">
        <f>IF('Comptage Décadaire'!B43&lt;&gt;"",VLOOKUP('Comptage Décadaire'!B43,'Comptage Décadaire'!B:B,1,FALSE),"")</f>
        <v/>
      </c>
      <c r="C42" s="28" t="str">
        <f>IF('Comptage Décadaire'!C43&lt;&gt;"",VLOOKUP('Comptage Décadaire'!C43,'Comptage Décadaire'!C:C,1,FALSE),"")</f>
        <v/>
      </c>
      <c r="D42" s="29" t="str">
        <f>IF('Comptage Décadaire'!D43&lt;&gt;"",VLOOKUP('Comptage Décadaire'!D43,Sites!$A:$B,2,FALSE),"")</f>
        <v/>
      </c>
      <c r="E42" s="29" t="str">
        <f>IF('Comptage Décadaire'!E43&lt;&gt;"",VLOOKUP('Comptage Décadaire'!E43,'Comptage Décadaire'!E:E,1,FALSE),"")</f>
        <v/>
      </c>
      <c r="F42" s="29" t="str">
        <f>IF('Comptage Décadaire'!F43&lt;&gt;"",VLOOKUP('Comptage Décadaire'!F43,Nomenclature!$B$2:$C$4,2,FALSE),"")</f>
        <v/>
      </c>
      <c r="G42" s="29" t="str">
        <f>IF('Comptage Décadaire'!G43&lt;&gt;"",VLOOKUP('Comptage Décadaire'!G43,'Comptage Décadaire'!G:G,1,FALSE),"")</f>
        <v/>
      </c>
      <c r="H42" s="29" t="str">
        <f>IF('Comptage Décadaire'!H43&lt;&gt;"",VLOOKUP('Comptage Décadaire'!H43,Nomenclature!$D$2:$E$7,2,FALSE),"")</f>
        <v/>
      </c>
      <c r="I42" s="30" t="str">
        <f>IF('Comptage Décadaire'!J43&lt;&gt;"",VLOOKUP('Comptage Décadaire'!J43,'Comptage Décadaire'!J:J,1,FALSE),"")</f>
        <v/>
      </c>
      <c r="J42" s="30" t="str">
        <f>IF('Comptage Décadaire'!K43&lt;&gt;"",VLOOKUP('Comptage Décadaire'!K43,'Comptage Décadaire'!K:K,1,FALSE),"")</f>
        <v/>
      </c>
      <c r="K42" s="30" t="str">
        <f>IF('Comptage Décadaire'!L43&lt;&gt;"",VLOOKUP('Comptage Décadaire'!L43,'Comptage Décadaire'!L:L,1,FALSE),"")</f>
        <v/>
      </c>
      <c r="L42" s="31" t="str">
        <f>IF('Comptage Décadaire'!M43&lt;&gt;"",VLOOKUP('Comptage Décadaire'!M43,'Comptage Décadaire'!M:M,1,FALSE),"")</f>
        <v/>
      </c>
      <c r="M42" s="33" t="str">
        <f>IF('Comptage Décadaire'!N43&lt;&gt;"",VLOOKUP('Comptage Décadaire'!N43,Utilisateurs!$D:$F,3,FALSE),"")</f>
        <v/>
      </c>
      <c r="N42" s="33" t="str">
        <f>IF('Comptage Décadaire'!O43&lt;&gt;"",VLOOKUP('Comptage Décadaire'!O43,Utilisateurs!$D:$F,3,FALSE),"")</f>
        <v/>
      </c>
      <c r="O42" s="33" t="str">
        <f>IF('Comptage Décadaire'!P43&lt;&gt;"",VLOOKUP('Comptage Décadaire'!P43,Utilisateurs!$D:$F,3,FALSE),"")</f>
        <v/>
      </c>
      <c r="P42" s="33" t="str">
        <f>IF('Comptage Décadaire'!Q43&lt;&gt;"",VLOOKUP('Comptage Décadaire'!Q43,Utilisateurs!$D:$F,3,FALSE),"")</f>
        <v/>
      </c>
      <c r="Q42" s="33" t="str">
        <f>IF('Comptage Décadaire'!R43&lt;&gt;"",VLOOKUP('Comptage Décadaire'!R43,Utilisateurs!$D:$F,3,FALSE),"")</f>
        <v/>
      </c>
      <c r="R42" s="30" t="str">
        <f>IF('Comptage Décadaire'!S43&lt;&gt;"",VLOOKUP('Comptage Décadaire'!S43,Nomenclature!$N:$O,2,FALSE),"")</f>
        <v/>
      </c>
      <c r="S42" s="30" t="str">
        <f>IF('Comptage Décadaire'!T43&lt;&gt;"",VLOOKUP('Comptage Décadaire'!T43,'Comptage Décadaire'!T:T,1,FALSE),"")</f>
        <v/>
      </c>
      <c r="T42" s="30" t="str">
        <f>IF('Comptage Décadaire'!U43&lt;&gt;"",VLOOKUP('Comptage Décadaire'!U43,'Comptage Décadaire'!U:U,1,FALSE),"")</f>
        <v/>
      </c>
      <c r="U42" s="30" t="str">
        <f>IF('Comptage Décadaire'!V43&lt;&gt;"",VLOOKUP('Comptage Décadaire'!V43,'Comptage Décadaire'!V:V,1,FALSE),"")</f>
        <v/>
      </c>
      <c r="V42" s="30" t="str">
        <f>IF('Comptage Décadaire'!W43&lt;&gt;"",VLOOKUP('Comptage Décadaire'!W43,'Comptage Décadaire'!W:W,1,FALSE),"")</f>
        <v/>
      </c>
      <c r="W42" s="30" t="str">
        <f>IF('Comptage Décadaire'!X43&lt;&gt;"",VLOOKUP('Comptage Décadaire'!X43,'Comptage Décadaire'!X:X,1,FALSE),"")</f>
        <v/>
      </c>
      <c r="X42" s="30" t="str">
        <f>IF('Comptage Décadaire'!Y43&lt;&gt;"",VLOOKUP('Comptage Décadaire'!Y43,'Comptage Décadaire'!Y:Y,1,FALSE),"")</f>
        <v/>
      </c>
      <c r="Y42" s="30" t="str">
        <f>IF('Comptage Décadaire'!Z43&lt;&gt;"",VLOOKUP('Comptage Décadaire'!Z43,Nomenclature!$F$2:$G$7,2,FALSE),"")</f>
        <v/>
      </c>
      <c r="Z42" s="30" t="str">
        <f>IF('Comptage Décadaire'!AA43&lt;&gt;"",VLOOKUP('Comptage Décadaire'!AA43,Nomenclature!$H$2:$I$31,2,FALSE),"")</f>
        <v/>
      </c>
      <c r="AA42" s="30" t="str">
        <f>IF('Comptage Décadaire'!AB43&lt;&gt;"",VLOOKUP('Comptage Décadaire'!AB43,Nomenclature!$J$2:$K$21,2,FALSE),"")</f>
        <v/>
      </c>
      <c r="AB42" s="30" t="str">
        <f>IF('Comptage Décadaire'!AC43&lt;&gt;"",VLOOKUP('Comptage Décadaire'!AC43,'Comptage Décadaire'!AC:AC,1,FALSE),"")</f>
        <v/>
      </c>
      <c r="AC42" s="32" t="str">
        <f>IF('Comptage Décadaire'!AD43&lt;&gt;"",VLOOKUP('Comptage Décadaire'!AD43,Nomenclature!$L$2:$M$8,2,FALSE),"")</f>
        <v/>
      </c>
      <c r="AD42" s="32" t="str">
        <f>IF('Comptage Décadaire'!AE43&lt;&gt;"",VLOOKUP('Comptage Décadaire'!AE43,Utilisateurs!$D$2:$F$81,3,FALSE),"")</f>
        <v/>
      </c>
      <c r="AE42" s="35" t="str">
        <f>IF('Comptage Décadaire'!AF43&lt;&gt;"",VLOOKUP('Comptage Décadaire'!AF43,'Comptage Décadaire'!AF:AF,1,FALSE),"")</f>
        <v/>
      </c>
      <c r="AF42" s="32" t="str">
        <f>IF('Comptage Décadaire'!AG43&lt;&gt;"",VLOOKUP('Comptage Décadaire'!AG43,'Comptage Décadaire'!AG:AG,1,FALSE),"")</f>
        <v/>
      </c>
    </row>
    <row r="43" spans="1:32" x14ac:dyDescent="0.25">
      <c r="A43" s="25" t="str">
        <f>IF('Comptage Décadaire'!A44&lt;&gt;"",VLOOKUP('Comptage Décadaire'!A44,'Comptage Décadaire'!A:A,1,FALSE),"")</f>
        <v/>
      </c>
      <c r="B43" s="27" t="str">
        <f>IF('Comptage Décadaire'!B44&lt;&gt;"",VLOOKUP('Comptage Décadaire'!B44,'Comptage Décadaire'!B:B,1,FALSE),"")</f>
        <v/>
      </c>
      <c r="C43" s="28" t="str">
        <f>IF('Comptage Décadaire'!C44&lt;&gt;"",VLOOKUP('Comptage Décadaire'!C44,'Comptage Décadaire'!C:C,1,FALSE),"")</f>
        <v/>
      </c>
      <c r="D43" s="29" t="str">
        <f>IF('Comptage Décadaire'!D44&lt;&gt;"",VLOOKUP('Comptage Décadaire'!D44,Sites!$A:$B,2,FALSE),"")</f>
        <v/>
      </c>
      <c r="E43" s="29" t="str">
        <f>IF('Comptage Décadaire'!E44&lt;&gt;"",VLOOKUP('Comptage Décadaire'!E44,'Comptage Décadaire'!E:E,1,FALSE),"")</f>
        <v/>
      </c>
      <c r="F43" s="29" t="str">
        <f>IF('Comptage Décadaire'!F44&lt;&gt;"",VLOOKUP('Comptage Décadaire'!F44,Nomenclature!$B$2:$C$4,2,FALSE),"")</f>
        <v/>
      </c>
      <c r="G43" s="29" t="str">
        <f>IF('Comptage Décadaire'!G44&lt;&gt;"",VLOOKUP('Comptage Décadaire'!G44,'Comptage Décadaire'!G:G,1,FALSE),"")</f>
        <v/>
      </c>
      <c r="H43" s="29" t="str">
        <f>IF('Comptage Décadaire'!H44&lt;&gt;"",VLOOKUP('Comptage Décadaire'!H44,Nomenclature!$D$2:$E$7,2,FALSE),"")</f>
        <v/>
      </c>
      <c r="I43" s="30" t="str">
        <f>IF('Comptage Décadaire'!J44&lt;&gt;"",VLOOKUP('Comptage Décadaire'!J44,'Comptage Décadaire'!J:J,1,FALSE),"")</f>
        <v/>
      </c>
      <c r="J43" s="30" t="str">
        <f>IF('Comptage Décadaire'!K44&lt;&gt;"",VLOOKUP('Comptage Décadaire'!K44,'Comptage Décadaire'!K:K,1,FALSE),"")</f>
        <v/>
      </c>
      <c r="K43" s="30" t="str">
        <f>IF('Comptage Décadaire'!L44&lt;&gt;"",VLOOKUP('Comptage Décadaire'!L44,'Comptage Décadaire'!L:L,1,FALSE),"")</f>
        <v/>
      </c>
      <c r="L43" s="31" t="str">
        <f>IF('Comptage Décadaire'!M44&lt;&gt;"",VLOOKUP('Comptage Décadaire'!M44,'Comptage Décadaire'!M:M,1,FALSE),"")</f>
        <v/>
      </c>
      <c r="M43" s="33" t="str">
        <f>IF('Comptage Décadaire'!N44&lt;&gt;"",VLOOKUP('Comptage Décadaire'!N44,Utilisateurs!$D:$F,3,FALSE),"")</f>
        <v/>
      </c>
      <c r="N43" s="33" t="str">
        <f>IF('Comptage Décadaire'!O44&lt;&gt;"",VLOOKUP('Comptage Décadaire'!O44,Utilisateurs!$D:$F,3,FALSE),"")</f>
        <v/>
      </c>
      <c r="O43" s="33" t="str">
        <f>IF('Comptage Décadaire'!P44&lt;&gt;"",VLOOKUP('Comptage Décadaire'!P44,Utilisateurs!$D:$F,3,FALSE),"")</f>
        <v/>
      </c>
      <c r="P43" s="33" t="str">
        <f>IF('Comptage Décadaire'!Q44&lt;&gt;"",VLOOKUP('Comptage Décadaire'!Q44,Utilisateurs!$D:$F,3,FALSE),"")</f>
        <v/>
      </c>
      <c r="Q43" s="33" t="str">
        <f>IF('Comptage Décadaire'!R44&lt;&gt;"",VLOOKUP('Comptage Décadaire'!R44,Utilisateurs!$D:$F,3,FALSE),"")</f>
        <v/>
      </c>
      <c r="R43" s="30" t="str">
        <f>IF('Comptage Décadaire'!S44&lt;&gt;"",VLOOKUP('Comptage Décadaire'!S44,Nomenclature!$N:$O,2,FALSE),"")</f>
        <v/>
      </c>
      <c r="S43" s="30" t="str">
        <f>IF('Comptage Décadaire'!T44&lt;&gt;"",VLOOKUP('Comptage Décadaire'!T44,'Comptage Décadaire'!T:T,1,FALSE),"")</f>
        <v/>
      </c>
      <c r="T43" s="30" t="str">
        <f>IF('Comptage Décadaire'!U44&lt;&gt;"",VLOOKUP('Comptage Décadaire'!U44,'Comptage Décadaire'!U:U,1,FALSE),"")</f>
        <v/>
      </c>
      <c r="U43" s="30" t="str">
        <f>IF('Comptage Décadaire'!V44&lt;&gt;"",VLOOKUP('Comptage Décadaire'!V44,'Comptage Décadaire'!V:V,1,FALSE),"")</f>
        <v/>
      </c>
      <c r="V43" s="30" t="str">
        <f>IF('Comptage Décadaire'!W44&lt;&gt;"",VLOOKUP('Comptage Décadaire'!W44,'Comptage Décadaire'!W:W,1,FALSE),"")</f>
        <v/>
      </c>
      <c r="W43" s="30" t="str">
        <f>IF('Comptage Décadaire'!X44&lt;&gt;"",VLOOKUP('Comptage Décadaire'!X44,'Comptage Décadaire'!X:X,1,FALSE),"")</f>
        <v/>
      </c>
      <c r="X43" s="30" t="str">
        <f>IF('Comptage Décadaire'!Y44&lt;&gt;"",VLOOKUP('Comptage Décadaire'!Y44,'Comptage Décadaire'!Y:Y,1,FALSE),"")</f>
        <v/>
      </c>
      <c r="Y43" s="30" t="str">
        <f>IF('Comptage Décadaire'!Z44&lt;&gt;"",VLOOKUP('Comptage Décadaire'!Z44,Nomenclature!$F$2:$G$7,2,FALSE),"")</f>
        <v/>
      </c>
      <c r="Z43" s="30" t="str">
        <f>IF('Comptage Décadaire'!AA44&lt;&gt;"",VLOOKUP('Comptage Décadaire'!AA44,Nomenclature!$H$2:$I$31,2,FALSE),"")</f>
        <v/>
      </c>
      <c r="AA43" s="30" t="str">
        <f>IF('Comptage Décadaire'!AB44&lt;&gt;"",VLOOKUP('Comptage Décadaire'!AB44,Nomenclature!$J$2:$K$21,2,FALSE),"")</f>
        <v/>
      </c>
      <c r="AB43" s="30" t="str">
        <f>IF('Comptage Décadaire'!AC44&lt;&gt;"",VLOOKUP('Comptage Décadaire'!AC44,'Comptage Décadaire'!AC:AC,1,FALSE),"")</f>
        <v/>
      </c>
      <c r="AC43" s="32" t="str">
        <f>IF('Comptage Décadaire'!AD44&lt;&gt;"",VLOOKUP('Comptage Décadaire'!AD44,Nomenclature!$L$2:$M$8,2,FALSE),"")</f>
        <v/>
      </c>
      <c r="AD43" s="32" t="str">
        <f>IF('Comptage Décadaire'!AE44&lt;&gt;"",VLOOKUP('Comptage Décadaire'!AE44,Utilisateurs!$D$2:$F$81,3,FALSE),"")</f>
        <v/>
      </c>
      <c r="AE43" s="35" t="str">
        <f>IF('Comptage Décadaire'!AF44&lt;&gt;"",VLOOKUP('Comptage Décadaire'!AF44,'Comptage Décadaire'!AF:AF,1,FALSE),"")</f>
        <v/>
      </c>
      <c r="AF43" s="32" t="str">
        <f>IF('Comptage Décadaire'!AG44&lt;&gt;"",VLOOKUP('Comptage Décadaire'!AG44,'Comptage Décadaire'!AG:AG,1,FALSE),"")</f>
        <v/>
      </c>
    </row>
    <row r="44" spans="1:32" x14ac:dyDescent="0.25">
      <c r="A44" s="25" t="str">
        <f>IF('Comptage Décadaire'!A45&lt;&gt;"",VLOOKUP('Comptage Décadaire'!A45,'Comptage Décadaire'!A:A,1,FALSE),"")</f>
        <v/>
      </c>
      <c r="B44" s="27" t="str">
        <f>IF('Comptage Décadaire'!B45&lt;&gt;"",VLOOKUP('Comptage Décadaire'!B45,'Comptage Décadaire'!B:B,1,FALSE),"")</f>
        <v/>
      </c>
      <c r="C44" s="28" t="str">
        <f>IF('Comptage Décadaire'!C45&lt;&gt;"",VLOOKUP('Comptage Décadaire'!C45,'Comptage Décadaire'!C:C,1,FALSE),"")</f>
        <v/>
      </c>
      <c r="D44" s="29" t="str">
        <f>IF('Comptage Décadaire'!D45&lt;&gt;"",VLOOKUP('Comptage Décadaire'!D45,Sites!$A:$B,2,FALSE),"")</f>
        <v/>
      </c>
      <c r="E44" s="29" t="str">
        <f>IF('Comptage Décadaire'!E45&lt;&gt;"",VLOOKUP('Comptage Décadaire'!E45,'Comptage Décadaire'!E:E,1,FALSE),"")</f>
        <v/>
      </c>
      <c r="F44" s="29" t="str">
        <f>IF('Comptage Décadaire'!F45&lt;&gt;"",VLOOKUP('Comptage Décadaire'!F45,Nomenclature!$B$2:$C$4,2,FALSE),"")</f>
        <v/>
      </c>
      <c r="G44" s="29" t="str">
        <f>IF('Comptage Décadaire'!G45&lt;&gt;"",VLOOKUP('Comptage Décadaire'!G45,'Comptage Décadaire'!G:G,1,FALSE),"")</f>
        <v/>
      </c>
      <c r="H44" s="29" t="str">
        <f>IF('Comptage Décadaire'!H45&lt;&gt;"",VLOOKUP('Comptage Décadaire'!H45,Nomenclature!$D$2:$E$7,2,FALSE),"")</f>
        <v/>
      </c>
      <c r="I44" s="30" t="str">
        <f>IF('Comptage Décadaire'!J45&lt;&gt;"",VLOOKUP('Comptage Décadaire'!J45,'Comptage Décadaire'!J:J,1,FALSE),"")</f>
        <v/>
      </c>
      <c r="J44" s="30" t="str">
        <f>IF('Comptage Décadaire'!K45&lt;&gt;"",VLOOKUP('Comptage Décadaire'!K45,'Comptage Décadaire'!K:K,1,FALSE),"")</f>
        <v/>
      </c>
      <c r="K44" s="30" t="str">
        <f>IF('Comptage Décadaire'!L45&lt;&gt;"",VLOOKUP('Comptage Décadaire'!L45,'Comptage Décadaire'!L:L,1,FALSE),"")</f>
        <v/>
      </c>
      <c r="L44" s="31" t="str">
        <f>IF('Comptage Décadaire'!M45&lt;&gt;"",VLOOKUP('Comptage Décadaire'!M45,'Comptage Décadaire'!M:M,1,FALSE),"")</f>
        <v/>
      </c>
      <c r="M44" s="33" t="str">
        <f>IF('Comptage Décadaire'!N45&lt;&gt;"",VLOOKUP('Comptage Décadaire'!N45,Utilisateurs!$D:$F,3,FALSE),"")</f>
        <v/>
      </c>
      <c r="N44" s="33" t="str">
        <f>IF('Comptage Décadaire'!O45&lt;&gt;"",VLOOKUP('Comptage Décadaire'!O45,Utilisateurs!$D:$F,3,FALSE),"")</f>
        <v/>
      </c>
      <c r="O44" s="33" t="str">
        <f>IF('Comptage Décadaire'!P45&lt;&gt;"",VLOOKUP('Comptage Décadaire'!P45,Utilisateurs!$D:$F,3,FALSE),"")</f>
        <v/>
      </c>
      <c r="P44" s="33" t="str">
        <f>IF('Comptage Décadaire'!Q45&lt;&gt;"",VLOOKUP('Comptage Décadaire'!Q45,Utilisateurs!$D:$F,3,FALSE),"")</f>
        <v/>
      </c>
      <c r="Q44" s="33" t="str">
        <f>IF('Comptage Décadaire'!R45&lt;&gt;"",VLOOKUP('Comptage Décadaire'!R45,Utilisateurs!$D:$F,3,FALSE),"")</f>
        <v/>
      </c>
      <c r="R44" s="30" t="str">
        <f>IF('Comptage Décadaire'!S45&lt;&gt;"",VLOOKUP('Comptage Décadaire'!S45,Nomenclature!$N:$O,2,FALSE),"")</f>
        <v/>
      </c>
      <c r="S44" s="30" t="str">
        <f>IF('Comptage Décadaire'!T45&lt;&gt;"",VLOOKUP('Comptage Décadaire'!T45,'Comptage Décadaire'!T:T,1,FALSE),"")</f>
        <v/>
      </c>
      <c r="T44" s="30" t="str">
        <f>IF('Comptage Décadaire'!U45&lt;&gt;"",VLOOKUP('Comptage Décadaire'!U45,'Comptage Décadaire'!U:U,1,FALSE),"")</f>
        <v/>
      </c>
      <c r="U44" s="30" t="str">
        <f>IF('Comptage Décadaire'!V45&lt;&gt;"",VLOOKUP('Comptage Décadaire'!V45,'Comptage Décadaire'!V:V,1,FALSE),"")</f>
        <v/>
      </c>
      <c r="V44" s="30" t="str">
        <f>IF('Comptage Décadaire'!W45&lt;&gt;"",VLOOKUP('Comptage Décadaire'!W45,'Comptage Décadaire'!W:W,1,FALSE),"")</f>
        <v/>
      </c>
      <c r="W44" s="30" t="str">
        <f>IF('Comptage Décadaire'!X45&lt;&gt;"",VLOOKUP('Comptage Décadaire'!X45,'Comptage Décadaire'!X:X,1,FALSE),"")</f>
        <v/>
      </c>
      <c r="X44" s="30" t="str">
        <f>IF('Comptage Décadaire'!Y45&lt;&gt;"",VLOOKUP('Comptage Décadaire'!Y45,'Comptage Décadaire'!Y:Y,1,FALSE),"")</f>
        <v/>
      </c>
      <c r="Y44" s="30" t="str">
        <f>IF('Comptage Décadaire'!Z45&lt;&gt;"",VLOOKUP('Comptage Décadaire'!Z45,Nomenclature!$F$2:$G$7,2,FALSE),"")</f>
        <v/>
      </c>
      <c r="Z44" s="30" t="str">
        <f>IF('Comptage Décadaire'!AA45&lt;&gt;"",VLOOKUP('Comptage Décadaire'!AA45,Nomenclature!$H$2:$I$31,2,FALSE),"")</f>
        <v/>
      </c>
      <c r="AA44" s="30" t="str">
        <f>IF('Comptage Décadaire'!AB45&lt;&gt;"",VLOOKUP('Comptage Décadaire'!AB45,Nomenclature!$J$2:$K$21,2,FALSE),"")</f>
        <v/>
      </c>
      <c r="AB44" s="30" t="str">
        <f>IF('Comptage Décadaire'!AC45&lt;&gt;"",VLOOKUP('Comptage Décadaire'!AC45,'Comptage Décadaire'!AC:AC,1,FALSE),"")</f>
        <v/>
      </c>
      <c r="AC44" s="32" t="str">
        <f>IF('Comptage Décadaire'!AD45&lt;&gt;"",VLOOKUP('Comptage Décadaire'!AD45,Nomenclature!$L$2:$M$8,2,FALSE),"")</f>
        <v/>
      </c>
      <c r="AD44" s="32" t="str">
        <f>IF('Comptage Décadaire'!AE45&lt;&gt;"",VLOOKUP('Comptage Décadaire'!AE45,Utilisateurs!$D$2:$F$81,3,FALSE),"")</f>
        <v/>
      </c>
      <c r="AE44" s="35" t="str">
        <f>IF('Comptage Décadaire'!AF45&lt;&gt;"",VLOOKUP('Comptage Décadaire'!AF45,'Comptage Décadaire'!AF:AF,1,FALSE),"")</f>
        <v/>
      </c>
      <c r="AF44" s="32" t="str">
        <f>IF('Comptage Décadaire'!AG45&lt;&gt;"",VLOOKUP('Comptage Décadaire'!AG45,'Comptage Décadaire'!AG:AG,1,FALSE),"")</f>
        <v/>
      </c>
    </row>
    <row r="45" spans="1:32" x14ac:dyDescent="0.25">
      <c r="A45" s="25" t="str">
        <f>IF('Comptage Décadaire'!A46&lt;&gt;"",VLOOKUP('Comptage Décadaire'!A46,'Comptage Décadaire'!A:A,1,FALSE),"")</f>
        <v/>
      </c>
      <c r="B45" s="27" t="str">
        <f>IF('Comptage Décadaire'!B46&lt;&gt;"",VLOOKUP('Comptage Décadaire'!B46,'Comptage Décadaire'!B:B,1,FALSE),"")</f>
        <v/>
      </c>
      <c r="C45" s="28" t="str">
        <f>IF('Comptage Décadaire'!C46&lt;&gt;"",VLOOKUP('Comptage Décadaire'!C46,'Comptage Décadaire'!C:C,1,FALSE),"")</f>
        <v/>
      </c>
      <c r="D45" s="29" t="str">
        <f>IF('Comptage Décadaire'!D46&lt;&gt;"",VLOOKUP('Comptage Décadaire'!D46,Sites!$A:$B,2,FALSE),"")</f>
        <v/>
      </c>
      <c r="E45" s="29" t="str">
        <f>IF('Comptage Décadaire'!E46&lt;&gt;"",VLOOKUP('Comptage Décadaire'!E46,'Comptage Décadaire'!E:E,1,FALSE),"")</f>
        <v/>
      </c>
      <c r="F45" s="29" t="str">
        <f>IF('Comptage Décadaire'!F46&lt;&gt;"",VLOOKUP('Comptage Décadaire'!F46,Nomenclature!$B$2:$C$4,2,FALSE),"")</f>
        <v/>
      </c>
      <c r="G45" s="29" t="str">
        <f>IF('Comptage Décadaire'!G46&lt;&gt;"",VLOOKUP('Comptage Décadaire'!G46,'Comptage Décadaire'!G:G,1,FALSE),"")</f>
        <v/>
      </c>
      <c r="H45" s="29" t="str">
        <f>IF('Comptage Décadaire'!H46&lt;&gt;"",VLOOKUP('Comptage Décadaire'!H46,Nomenclature!$D$2:$E$7,2,FALSE),"")</f>
        <v/>
      </c>
      <c r="I45" s="30" t="str">
        <f>IF('Comptage Décadaire'!J46&lt;&gt;"",VLOOKUP('Comptage Décadaire'!J46,'Comptage Décadaire'!J:J,1,FALSE),"")</f>
        <v/>
      </c>
      <c r="J45" s="30" t="str">
        <f>IF('Comptage Décadaire'!K46&lt;&gt;"",VLOOKUP('Comptage Décadaire'!K46,'Comptage Décadaire'!K:K,1,FALSE),"")</f>
        <v/>
      </c>
      <c r="K45" s="30" t="str">
        <f>IF('Comptage Décadaire'!L46&lt;&gt;"",VLOOKUP('Comptage Décadaire'!L46,'Comptage Décadaire'!L:L,1,FALSE),"")</f>
        <v/>
      </c>
      <c r="L45" s="31" t="str">
        <f>IF('Comptage Décadaire'!M46&lt;&gt;"",VLOOKUP('Comptage Décadaire'!M46,'Comptage Décadaire'!M:M,1,FALSE),"")</f>
        <v/>
      </c>
      <c r="M45" s="33" t="str">
        <f>IF('Comptage Décadaire'!N46&lt;&gt;"",VLOOKUP('Comptage Décadaire'!N46,Utilisateurs!$D:$F,3,FALSE),"")</f>
        <v/>
      </c>
      <c r="N45" s="33" t="str">
        <f>IF('Comptage Décadaire'!O46&lt;&gt;"",VLOOKUP('Comptage Décadaire'!O46,Utilisateurs!$D:$F,3,FALSE),"")</f>
        <v/>
      </c>
      <c r="O45" s="33" t="str">
        <f>IF('Comptage Décadaire'!P46&lt;&gt;"",VLOOKUP('Comptage Décadaire'!P46,Utilisateurs!$D:$F,3,FALSE),"")</f>
        <v/>
      </c>
      <c r="P45" s="33" t="str">
        <f>IF('Comptage Décadaire'!Q46&lt;&gt;"",VLOOKUP('Comptage Décadaire'!Q46,Utilisateurs!$D:$F,3,FALSE),"")</f>
        <v/>
      </c>
      <c r="Q45" s="33" t="str">
        <f>IF('Comptage Décadaire'!R46&lt;&gt;"",VLOOKUP('Comptage Décadaire'!R46,Utilisateurs!$D:$F,3,FALSE),"")</f>
        <v/>
      </c>
      <c r="R45" s="30" t="str">
        <f>IF('Comptage Décadaire'!S46&lt;&gt;"",VLOOKUP('Comptage Décadaire'!S46,Nomenclature!$N:$O,2,FALSE),"")</f>
        <v/>
      </c>
      <c r="S45" s="30" t="str">
        <f>IF('Comptage Décadaire'!T46&lt;&gt;"",VLOOKUP('Comptage Décadaire'!T46,'Comptage Décadaire'!T:T,1,FALSE),"")</f>
        <v/>
      </c>
      <c r="T45" s="30" t="str">
        <f>IF('Comptage Décadaire'!U46&lt;&gt;"",VLOOKUP('Comptage Décadaire'!U46,'Comptage Décadaire'!U:U,1,FALSE),"")</f>
        <v/>
      </c>
      <c r="U45" s="30" t="str">
        <f>IF('Comptage Décadaire'!V46&lt;&gt;"",VLOOKUP('Comptage Décadaire'!V46,'Comptage Décadaire'!V:V,1,FALSE),"")</f>
        <v/>
      </c>
      <c r="V45" s="30" t="str">
        <f>IF('Comptage Décadaire'!W46&lt;&gt;"",VLOOKUP('Comptage Décadaire'!W46,'Comptage Décadaire'!W:W,1,FALSE),"")</f>
        <v/>
      </c>
      <c r="W45" s="30" t="str">
        <f>IF('Comptage Décadaire'!X46&lt;&gt;"",VLOOKUP('Comptage Décadaire'!X46,'Comptage Décadaire'!X:X,1,FALSE),"")</f>
        <v/>
      </c>
      <c r="X45" s="30" t="str">
        <f>IF('Comptage Décadaire'!Y46&lt;&gt;"",VLOOKUP('Comptage Décadaire'!Y46,'Comptage Décadaire'!Y:Y,1,FALSE),"")</f>
        <v/>
      </c>
      <c r="Y45" s="30" t="str">
        <f>IF('Comptage Décadaire'!Z46&lt;&gt;"",VLOOKUP('Comptage Décadaire'!Z46,Nomenclature!$F$2:$G$7,2,FALSE),"")</f>
        <v/>
      </c>
      <c r="Z45" s="30" t="str">
        <f>IF('Comptage Décadaire'!AA46&lt;&gt;"",VLOOKUP('Comptage Décadaire'!AA46,Nomenclature!$H$2:$I$31,2,FALSE),"")</f>
        <v/>
      </c>
      <c r="AA45" s="30" t="str">
        <f>IF('Comptage Décadaire'!AB46&lt;&gt;"",VLOOKUP('Comptage Décadaire'!AB46,Nomenclature!$J$2:$K$21,2,FALSE),"")</f>
        <v/>
      </c>
      <c r="AB45" s="30" t="str">
        <f>IF('Comptage Décadaire'!AC46&lt;&gt;"",VLOOKUP('Comptage Décadaire'!AC46,'Comptage Décadaire'!AC:AC,1,FALSE),"")</f>
        <v/>
      </c>
      <c r="AC45" s="32" t="str">
        <f>IF('Comptage Décadaire'!AD46&lt;&gt;"",VLOOKUP('Comptage Décadaire'!AD46,Nomenclature!$L$2:$M$8,2,FALSE),"")</f>
        <v/>
      </c>
      <c r="AD45" s="32" t="str">
        <f>IF('Comptage Décadaire'!AE46&lt;&gt;"",VLOOKUP('Comptage Décadaire'!AE46,Utilisateurs!$D$2:$F$81,3,FALSE),"")</f>
        <v/>
      </c>
      <c r="AE45" s="35" t="str">
        <f>IF('Comptage Décadaire'!AF46&lt;&gt;"",VLOOKUP('Comptage Décadaire'!AF46,'Comptage Décadaire'!AF:AF,1,FALSE),"")</f>
        <v/>
      </c>
      <c r="AF45" s="32" t="str">
        <f>IF('Comptage Décadaire'!AG46&lt;&gt;"",VLOOKUP('Comptage Décadaire'!AG46,'Comptage Décadaire'!AG:AG,1,FALSE),"")</f>
        <v/>
      </c>
    </row>
    <row r="46" spans="1:32" x14ac:dyDescent="0.25">
      <c r="A46" s="25" t="str">
        <f>IF('Comptage Décadaire'!A47&lt;&gt;"",VLOOKUP('Comptage Décadaire'!A47,'Comptage Décadaire'!A:A,1,FALSE),"")</f>
        <v/>
      </c>
      <c r="B46" s="27" t="str">
        <f>IF('Comptage Décadaire'!B47&lt;&gt;"",VLOOKUP('Comptage Décadaire'!B47,'Comptage Décadaire'!B:B,1,FALSE),"")</f>
        <v/>
      </c>
      <c r="C46" s="28" t="str">
        <f>IF('Comptage Décadaire'!C47&lt;&gt;"",VLOOKUP('Comptage Décadaire'!C47,'Comptage Décadaire'!C:C,1,FALSE),"")</f>
        <v/>
      </c>
      <c r="D46" s="29" t="str">
        <f>IF('Comptage Décadaire'!D47&lt;&gt;"",VLOOKUP('Comptage Décadaire'!D47,Sites!$A:$B,2,FALSE),"")</f>
        <v/>
      </c>
      <c r="E46" s="29" t="str">
        <f>IF('Comptage Décadaire'!E47&lt;&gt;"",VLOOKUP('Comptage Décadaire'!E47,'Comptage Décadaire'!E:E,1,FALSE),"")</f>
        <v/>
      </c>
      <c r="F46" s="29" t="str">
        <f>IF('Comptage Décadaire'!F47&lt;&gt;"",VLOOKUP('Comptage Décadaire'!F47,Nomenclature!$B$2:$C$4,2,FALSE),"")</f>
        <v/>
      </c>
      <c r="G46" s="29" t="str">
        <f>IF('Comptage Décadaire'!G47&lt;&gt;"",VLOOKUP('Comptage Décadaire'!G47,'Comptage Décadaire'!G:G,1,FALSE),"")</f>
        <v/>
      </c>
      <c r="H46" s="29" t="str">
        <f>IF('Comptage Décadaire'!H47&lt;&gt;"",VLOOKUP('Comptage Décadaire'!H47,Nomenclature!$D$2:$E$7,2,FALSE),"")</f>
        <v/>
      </c>
      <c r="I46" s="30" t="str">
        <f>IF('Comptage Décadaire'!J47&lt;&gt;"",VLOOKUP('Comptage Décadaire'!J47,'Comptage Décadaire'!J:J,1,FALSE),"")</f>
        <v/>
      </c>
      <c r="J46" s="30" t="str">
        <f>IF('Comptage Décadaire'!K47&lt;&gt;"",VLOOKUP('Comptage Décadaire'!K47,'Comptage Décadaire'!K:K,1,FALSE),"")</f>
        <v/>
      </c>
      <c r="K46" s="30" t="str">
        <f>IF('Comptage Décadaire'!L47&lt;&gt;"",VLOOKUP('Comptage Décadaire'!L47,'Comptage Décadaire'!L:L,1,FALSE),"")</f>
        <v/>
      </c>
      <c r="L46" s="31" t="str">
        <f>IF('Comptage Décadaire'!M47&lt;&gt;"",VLOOKUP('Comptage Décadaire'!M47,'Comptage Décadaire'!M:M,1,FALSE),"")</f>
        <v/>
      </c>
      <c r="M46" s="33" t="str">
        <f>IF('Comptage Décadaire'!N47&lt;&gt;"",VLOOKUP('Comptage Décadaire'!N47,Utilisateurs!$D:$F,3,FALSE),"")</f>
        <v/>
      </c>
      <c r="N46" s="33" t="str">
        <f>IF('Comptage Décadaire'!O47&lt;&gt;"",VLOOKUP('Comptage Décadaire'!O47,Utilisateurs!$D:$F,3,FALSE),"")</f>
        <v/>
      </c>
      <c r="O46" s="33" t="str">
        <f>IF('Comptage Décadaire'!P47&lt;&gt;"",VLOOKUP('Comptage Décadaire'!P47,Utilisateurs!$D:$F,3,FALSE),"")</f>
        <v/>
      </c>
      <c r="P46" s="33" t="str">
        <f>IF('Comptage Décadaire'!Q47&lt;&gt;"",VLOOKUP('Comptage Décadaire'!Q47,Utilisateurs!$D:$F,3,FALSE),"")</f>
        <v/>
      </c>
      <c r="Q46" s="33" t="str">
        <f>IF('Comptage Décadaire'!R47&lt;&gt;"",VLOOKUP('Comptage Décadaire'!R47,Utilisateurs!$D:$F,3,FALSE),"")</f>
        <v/>
      </c>
      <c r="R46" s="30" t="str">
        <f>IF('Comptage Décadaire'!S47&lt;&gt;"",VLOOKUP('Comptage Décadaire'!S47,Nomenclature!$N:$O,2,FALSE),"")</f>
        <v/>
      </c>
      <c r="S46" s="30" t="str">
        <f>IF('Comptage Décadaire'!T47&lt;&gt;"",VLOOKUP('Comptage Décadaire'!T47,'Comptage Décadaire'!T:T,1,FALSE),"")</f>
        <v/>
      </c>
      <c r="T46" s="30" t="str">
        <f>IF('Comptage Décadaire'!U47&lt;&gt;"",VLOOKUP('Comptage Décadaire'!U47,'Comptage Décadaire'!U:U,1,FALSE),"")</f>
        <v/>
      </c>
      <c r="U46" s="30" t="str">
        <f>IF('Comptage Décadaire'!V47&lt;&gt;"",VLOOKUP('Comptage Décadaire'!V47,'Comptage Décadaire'!V:V,1,FALSE),"")</f>
        <v/>
      </c>
      <c r="V46" s="30" t="str">
        <f>IF('Comptage Décadaire'!W47&lt;&gt;"",VLOOKUP('Comptage Décadaire'!W47,'Comptage Décadaire'!W:W,1,FALSE),"")</f>
        <v/>
      </c>
      <c r="W46" s="30" t="str">
        <f>IF('Comptage Décadaire'!X47&lt;&gt;"",VLOOKUP('Comptage Décadaire'!X47,'Comptage Décadaire'!X:X,1,FALSE),"")</f>
        <v/>
      </c>
      <c r="X46" s="30" t="str">
        <f>IF('Comptage Décadaire'!Y47&lt;&gt;"",VLOOKUP('Comptage Décadaire'!Y47,'Comptage Décadaire'!Y:Y,1,FALSE),"")</f>
        <v/>
      </c>
      <c r="Y46" s="30" t="str">
        <f>IF('Comptage Décadaire'!Z47&lt;&gt;"",VLOOKUP('Comptage Décadaire'!Z47,Nomenclature!$F$2:$G$7,2,FALSE),"")</f>
        <v/>
      </c>
      <c r="Z46" s="30" t="str">
        <f>IF('Comptage Décadaire'!AA47&lt;&gt;"",VLOOKUP('Comptage Décadaire'!AA47,Nomenclature!$H$2:$I$31,2,FALSE),"")</f>
        <v/>
      </c>
      <c r="AA46" s="30" t="str">
        <f>IF('Comptage Décadaire'!AB47&lt;&gt;"",VLOOKUP('Comptage Décadaire'!AB47,Nomenclature!$J$2:$K$21,2,FALSE),"")</f>
        <v/>
      </c>
      <c r="AB46" s="30" t="str">
        <f>IF('Comptage Décadaire'!AC47&lt;&gt;"",VLOOKUP('Comptage Décadaire'!AC47,'Comptage Décadaire'!AC:AC,1,FALSE),"")</f>
        <v/>
      </c>
      <c r="AC46" s="32" t="str">
        <f>IF('Comptage Décadaire'!AD47&lt;&gt;"",VLOOKUP('Comptage Décadaire'!AD47,Nomenclature!$L$2:$M$8,2,FALSE),"")</f>
        <v/>
      </c>
      <c r="AD46" s="32" t="str">
        <f>IF('Comptage Décadaire'!AE47&lt;&gt;"",VLOOKUP('Comptage Décadaire'!AE47,Utilisateurs!$D$2:$F$81,3,FALSE),"")</f>
        <v/>
      </c>
      <c r="AE46" s="35" t="str">
        <f>IF('Comptage Décadaire'!AF47&lt;&gt;"",VLOOKUP('Comptage Décadaire'!AF47,'Comptage Décadaire'!AF:AF,1,FALSE),"")</f>
        <v/>
      </c>
      <c r="AF46" s="32" t="str">
        <f>IF('Comptage Décadaire'!AG47&lt;&gt;"",VLOOKUP('Comptage Décadaire'!AG47,'Comptage Décadaire'!AG:AG,1,FALSE),"")</f>
        <v/>
      </c>
    </row>
    <row r="47" spans="1:32" x14ac:dyDescent="0.25">
      <c r="A47" s="25" t="str">
        <f>IF('Comptage Décadaire'!A48&lt;&gt;"",VLOOKUP('Comptage Décadaire'!A48,'Comptage Décadaire'!A:A,1,FALSE),"")</f>
        <v/>
      </c>
      <c r="B47" s="27" t="str">
        <f>IF('Comptage Décadaire'!B48&lt;&gt;"",VLOOKUP('Comptage Décadaire'!B48,'Comptage Décadaire'!B:B,1,FALSE),"")</f>
        <v/>
      </c>
      <c r="C47" s="28" t="str">
        <f>IF('Comptage Décadaire'!C48&lt;&gt;"",VLOOKUP('Comptage Décadaire'!C48,'Comptage Décadaire'!C:C,1,FALSE),"")</f>
        <v/>
      </c>
      <c r="D47" s="29" t="str">
        <f>IF('Comptage Décadaire'!D48&lt;&gt;"",VLOOKUP('Comptage Décadaire'!D48,Sites!$A:$B,2,FALSE),"")</f>
        <v/>
      </c>
      <c r="E47" s="29" t="str">
        <f>IF('Comptage Décadaire'!E48&lt;&gt;"",VLOOKUP('Comptage Décadaire'!E48,'Comptage Décadaire'!E:E,1,FALSE),"")</f>
        <v/>
      </c>
      <c r="F47" s="29" t="str">
        <f>IF('Comptage Décadaire'!F48&lt;&gt;"",VLOOKUP('Comptage Décadaire'!F48,Nomenclature!$B$2:$C$4,2,FALSE),"")</f>
        <v/>
      </c>
      <c r="G47" s="29" t="str">
        <f>IF('Comptage Décadaire'!G48&lt;&gt;"",VLOOKUP('Comptage Décadaire'!G48,'Comptage Décadaire'!G:G,1,FALSE),"")</f>
        <v/>
      </c>
      <c r="H47" s="29" t="str">
        <f>IF('Comptage Décadaire'!H48&lt;&gt;"",VLOOKUP('Comptage Décadaire'!H48,Nomenclature!$D$2:$E$7,2,FALSE),"")</f>
        <v/>
      </c>
      <c r="I47" s="30" t="str">
        <f>IF('Comptage Décadaire'!J48&lt;&gt;"",VLOOKUP('Comptage Décadaire'!J48,'Comptage Décadaire'!J:J,1,FALSE),"")</f>
        <v/>
      </c>
      <c r="J47" s="30" t="str">
        <f>IF('Comptage Décadaire'!K48&lt;&gt;"",VLOOKUP('Comptage Décadaire'!K48,'Comptage Décadaire'!K:K,1,FALSE),"")</f>
        <v/>
      </c>
      <c r="K47" s="30" t="str">
        <f>IF('Comptage Décadaire'!L48&lt;&gt;"",VLOOKUP('Comptage Décadaire'!L48,'Comptage Décadaire'!L:L,1,FALSE),"")</f>
        <v/>
      </c>
      <c r="L47" s="31" t="str">
        <f>IF('Comptage Décadaire'!M48&lt;&gt;"",VLOOKUP('Comptage Décadaire'!M48,'Comptage Décadaire'!M:M,1,FALSE),"")</f>
        <v/>
      </c>
      <c r="M47" s="33" t="str">
        <f>IF('Comptage Décadaire'!N48&lt;&gt;"",VLOOKUP('Comptage Décadaire'!N48,Utilisateurs!$D:$F,3,FALSE),"")</f>
        <v/>
      </c>
      <c r="N47" s="33" t="str">
        <f>IF('Comptage Décadaire'!O48&lt;&gt;"",VLOOKUP('Comptage Décadaire'!O48,Utilisateurs!$D:$F,3,FALSE),"")</f>
        <v/>
      </c>
      <c r="O47" s="33" t="str">
        <f>IF('Comptage Décadaire'!P48&lt;&gt;"",VLOOKUP('Comptage Décadaire'!P48,Utilisateurs!$D:$F,3,FALSE),"")</f>
        <v/>
      </c>
      <c r="P47" s="33" t="str">
        <f>IF('Comptage Décadaire'!Q48&lt;&gt;"",VLOOKUP('Comptage Décadaire'!Q48,Utilisateurs!$D:$F,3,FALSE),"")</f>
        <v/>
      </c>
      <c r="Q47" s="33" t="str">
        <f>IF('Comptage Décadaire'!R48&lt;&gt;"",VLOOKUP('Comptage Décadaire'!R48,Utilisateurs!$D:$F,3,FALSE),"")</f>
        <v/>
      </c>
      <c r="R47" s="30" t="str">
        <f>IF('Comptage Décadaire'!S48&lt;&gt;"",VLOOKUP('Comptage Décadaire'!S48,Nomenclature!$N:$O,2,FALSE),"")</f>
        <v/>
      </c>
      <c r="S47" s="30" t="str">
        <f>IF('Comptage Décadaire'!T48&lt;&gt;"",VLOOKUP('Comptage Décadaire'!T48,'Comptage Décadaire'!T:T,1,FALSE),"")</f>
        <v/>
      </c>
      <c r="T47" s="30" t="str">
        <f>IF('Comptage Décadaire'!U48&lt;&gt;"",VLOOKUP('Comptage Décadaire'!U48,'Comptage Décadaire'!U:U,1,FALSE),"")</f>
        <v/>
      </c>
      <c r="U47" s="30" t="str">
        <f>IF('Comptage Décadaire'!V48&lt;&gt;"",VLOOKUP('Comptage Décadaire'!V48,'Comptage Décadaire'!V:V,1,FALSE),"")</f>
        <v/>
      </c>
      <c r="V47" s="30" t="str">
        <f>IF('Comptage Décadaire'!W48&lt;&gt;"",VLOOKUP('Comptage Décadaire'!W48,'Comptage Décadaire'!W:W,1,FALSE),"")</f>
        <v/>
      </c>
      <c r="W47" s="30" t="str">
        <f>IF('Comptage Décadaire'!X48&lt;&gt;"",VLOOKUP('Comptage Décadaire'!X48,'Comptage Décadaire'!X:X,1,FALSE),"")</f>
        <v/>
      </c>
      <c r="X47" s="30" t="str">
        <f>IF('Comptage Décadaire'!Y48&lt;&gt;"",VLOOKUP('Comptage Décadaire'!Y48,'Comptage Décadaire'!Y:Y,1,FALSE),"")</f>
        <v/>
      </c>
      <c r="Y47" s="30" t="str">
        <f>IF('Comptage Décadaire'!Z48&lt;&gt;"",VLOOKUP('Comptage Décadaire'!Z48,Nomenclature!$F$2:$G$7,2,FALSE),"")</f>
        <v/>
      </c>
      <c r="Z47" s="30" t="str">
        <f>IF('Comptage Décadaire'!AA48&lt;&gt;"",VLOOKUP('Comptage Décadaire'!AA48,Nomenclature!$H$2:$I$31,2,FALSE),"")</f>
        <v/>
      </c>
      <c r="AA47" s="30" t="str">
        <f>IF('Comptage Décadaire'!AB48&lt;&gt;"",VLOOKUP('Comptage Décadaire'!AB48,Nomenclature!$J$2:$K$21,2,FALSE),"")</f>
        <v/>
      </c>
      <c r="AB47" s="30" t="str">
        <f>IF('Comptage Décadaire'!AC48&lt;&gt;"",VLOOKUP('Comptage Décadaire'!AC48,'Comptage Décadaire'!AC:AC,1,FALSE),"")</f>
        <v/>
      </c>
      <c r="AC47" s="32" t="str">
        <f>IF('Comptage Décadaire'!AD48&lt;&gt;"",VLOOKUP('Comptage Décadaire'!AD48,Nomenclature!$L$2:$M$8,2,FALSE),"")</f>
        <v/>
      </c>
      <c r="AD47" s="32" t="str">
        <f>IF('Comptage Décadaire'!AE48&lt;&gt;"",VLOOKUP('Comptage Décadaire'!AE48,Utilisateurs!$D$2:$F$81,3,FALSE),"")</f>
        <v/>
      </c>
      <c r="AE47" s="35" t="str">
        <f>IF('Comptage Décadaire'!AF48&lt;&gt;"",VLOOKUP('Comptage Décadaire'!AF48,'Comptage Décadaire'!AF:AF,1,FALSE),"")</f>
        <v/>
      </c>
      <c r="AF47" s="32" t="str">
        <f>IF('Comptage Décadaire'!AG48&lt;&gt;"",VLOOKUP('Comptage Décadaire'!AG48,'Comptage Décadaire'!AG:AG,1,FALSE),"")</f>
        <v/>
      </c>
    </row>
    <row r="48" spans="1:32" x14ac:dyDescent="0.25">
      <c r="A48" s="25" t="str">
        <f>IF('Comptage Décadaire'!A49&lt;&gt;"",VLOOKUP('Comptage Décadaire'!A49,'Comptage Décadaire'!A:A,1,FALSE),"")</f>
        <v/>
      </c>
      <c r="B48" s="27" t="str">
        <f>IF('Comptage Décadaire'!B49&lt;&gt;"",VLOOKUP('Comptage Décadaire'!B49,'Comptage Décadaire'!B:B,1,FALSE),"")</f>
        <v/>
      </c>
      <c r="C48" s="28" t="str">
        <f>IF('Comptage Décadaire'!C49&lt;&gt;"",VLOOKUP('Comptage Décadaire'!C49,'Comptage Décadaire'!C:C,1,FALSE),"")</f>
        <v/>
      </c>
      <c r="D48" s="29" t="str">
        <f>IF('Comptage Décadaire'!D49&lt;&gt;"",VLOOKUP('Comptage Décadaire'!D49,Sites!$A:$B,2,FALSE),"")</f>
        <v/>
      </c>
      <c r="E48" s="29" t="str">
        <f>IF('Comptage Décadaire'!E49&lt;&gt;"",VLOOKUP('Comptage Décadaire'!E49,'Comptage Décadaire'!E:E,1,FALSE),"")</f>
        <v/>
      </c>
      <c r="F48" s="29" t="str">
        <f>IF('Comptage Décadaire'!F49&lt;&gt;"",VLOOKUP('Comptage Décadaire'!F49,Nomenclature!$B$2:$C$4,2,FALSE),"")</f>
        <v/>
      </c>
      <c r="G48" s="29" t="str">
        <f>IF('Comptage Décadaire'!G49&lt;&gt;"",VLOOKUP('Comptage Décadaire'!G49,'Comptage Décadaire'!G:G,1,FALSE),"")</f>
        <v/>
      </c>
      <c r="H48" s="29" t="str">
        <f>IF('Comptage Décadaire'!H49&lt;&gt;"",VLOOKUP('Comptage Décadaire'!H49,Nomenclature!$D$2:$E$7,2,FALSE),"")</f>
        <v/>
      </c>
      <c r="I48" s="30" t="str">
        <f>IF('Comptage Décadaire'!J49&lt;&gt;"",VLOOKUP('Comptage Décadaire'!J49,'Comptage Décadaire'!J:J,1,FALSE),"")</f>
        <v/>
      </c>
      <c r="J48" s="30" t="str">
        <f>IF('Comptage Décadaire'!K49&lt;&gt;"",VLOOKUP('Comptage Décadaire'!K49,'Comptage Décadaire'!K:K,1,FALSE),"")</f>
        <v/>
      </c>
      <c r="K48" s="30" t="str">
        <f>IF('Comptage Décadaire'!L49&lt;&gt;"",VLOOKUP('Comptage Décadaire'!L49,'Comptage Décadaire'!L:L,1,FALSE),"")</f>
        <v/>
      </c>
      <c r="L48" s="31" t="str">
        <f>IF('Comptage Décadaire'!M49&lt;&gt;"",VLOOKUP('Comptage Décadaire'!M49,'Comptage Décadaire'!M:M,1,FALSE),"")</f>
        <v/>
      </c>
      <c r="M48" s="33" t="str">
        <f>IF('Comptage Décadaire'!N49&lt;&gt;"",VLOOKUP('Comptage Décadaire'!N49,Utilisateurs!$D:$F,3,FALSE),"")</f>
        <v/>
      </c>
      <c r="N48" s="33" t="str">
        <f>IF('Comptage Décadaire'!O49&lt;&gt;"",VLOOKUP('Comptage Décadaire'!O49,Utilisateurs!$D:$F,3,FALSE),"")</f>
        <v/>
      </c>
      <c r="O48" s="33" t="str">
        <f>IF('Comptage Décadaire'!P49&lt;&gt;"",VLOOKUP('Comptage Décadaire'!P49,Utilisateurs!$D:$F,3,FALSE),"")</f>
        <v/>
      </c>
      <c r="P48" s="33" t="str">
        <f>IF('Comptage Décadaire'!Q49&lt;&gt;"",VLOOKUP('Comptage Décadaire'!Q49,Utilisateurs!$D:$F,3,FALSE),"")</f>
        <v/>
      </c>
      <c r="Q48" s="33" t="str">
        <f>IF('Comptage Décadaire'!R49&lt;&gt;"",VLOOKUP('Comptage Décadaire'!R49,Utilisateurs!$D:$F,3,FALSE),"")</f>
        <v/>
      </c>
      <c r="R48" s="30" t="str">
        <f>IF('Comptage Décadaire'!S49&lt;&gt;"",VLOOKUP('Comptage Décadaire'!S49,Nomenclature!$N:$O,2,FALSE),"")</f>
        <v/>
      </c>
      <c r="S48" s="30" t="str">
        <f>IF('Comptage Décadaire'!T49&lt;&gt;"",VLOOKUP('Comptage Décadaire'!T49,'Comptage Décadaire'!T:T,1,FALSE),"")</f>
        <v/>
      </c>
      <c r="T48" s="30" t="str">
        <f>IF('Comptage Décadaire'!U49&lt;&gt;"",VLOOKUP('Comptage Décadaire'!U49,'Comptage Décadaire'!U:U,1,FALSE),"")</f>
        <v/>
      </c>
      <c r="U48" s="30" t="str">
        <f>IF('Comptage Décadaire'!V49&lt;&gt;"",VLOOKUP('Comptage Décadaire'!V49,'Comptage Décadaire'!V:V,1,FALSE),"")</f>
        <v/>
      </c>
      <c r="V48" s="30" t="str">
        <f>IF('Comptage Décadaire'!W49&lt;&gt;"",VLOOKUP('Comptage Décadaire'!W49,'Comptage Décadaire'!W:W,1,FALSE),"")</f>
        <v/>
      </c>
      <c r="W48" s="30" t="str">
        <f>IF('Comptage Décadaire'!X49&lt;&gt;"",VLOOKUP('Comptage Décadaire'!X49,'Comptage Décadaire'!X:X,1,FALSE),"")</f>
        <v/>
      </c>
      <c r="X48" s="30" t="str">
        <f>IF('Comptage Décadaire'!Y49&lt;&gt;"",VLOOKUP('Comptage Décadaire'!Y49,'Comptage Décadaire'!Y:Y,1,FALSE),"")</f>
        <v/>
      </c>
      <c r="Y48" s="30" t="str">
        <f>IF('Comptage Décadaire'!Z49&lt;&gt;"",VLOOKUP('Comptage Décadaire'!Z49,Nomenclature!$F$2:$G$7,2,FALSE),"")</f>
        <v/>
      </c>
      <c r="Z48" s="30" t="str">
        <f>IF('Comptage Décadaire'!AA49&lt;&gt;"",VLOOKUP('Comptage Décadaire'!AA49,Nomenclature!$H$2:$I$31,2,FALSE),"")</f>
        <v/>
      </c>
      <c r="AA48" s="30" t="str">
        <f>IF('Comptage Décadaire'!AB49&lt;&gt;"",VLOOKUP('Comptage Décadaire'!AB49,Nomenclature!$J$2:$K$21,2,FALSE),"")</f>
        <v/>
      </c>
      <c r="AB48" s="30" t="str">
        <f>IF('Comptage Décadaire'!AC49&lt;&gt;"",VLOOKUP('Comptage Décadaire'!AC49,'Comptage Décadaire'!AC:AC,1,FALSE),"")</f>
        <v/>
      </c>
      <c r="AC48" s="32" t="str">
        <f>IF('Comptage Décadaire'!AD49&lt;&gt;"",VLOOKUP('Comptage Décadaire'!AD49,Nomenclature!$L$2:$M$8,2,FALSE),"")</f>
        <v/>
      </c>
      <c r="AD48" s="32" t="str">
        <f>IF('Comptage Décadaire'!AE49&lt;&gt;"",VLOOKUP('Comptage Décadaire'!AE49,Utilisateurs!$D$2:$F$81,3,FALSE),"")</f>
        <v/>
      </c>
      <c r="AE48" s="35" t="str">
        <f>IF('Comptage Décadaire'!AF49&lt;&gt;"",VLOOKUP('Comptage Décadaire'!AF49,'Comptage Décadaire'!AF:AF,1,FALSE),"")</f>
        <v/>
      </c>
      <c r="AF48" s="32" t="str">
        <f>IF('Comptage Décadaire'!AG49&lt;&gt;"",VLOOKUP('Comptage Décadaire'!AG49,'Comptage Décadaire'!AG:AG,1,FALSE),"")</f>
        <v/>
      </c>
    </row>
    <row r="49" spans="1:32" x14ac:dyDescent="0.25">
      <c r="A49" s="25" t="str">
        <f>IF('Comptage Décadaire'!A50&lt;&gt;"",VLOOKUP('Comptage Décadaire'!A50,'Comptage Décadaire'!A:A,1,FALSE),"")</f>
        <v/>
      </c>
      <c r="B49" s="27" t="str">
        <f>IF('Comptage Décadaire'!B50&lt;&gt;"",VLOOKUP('Comptage Décadaire'!B50,'Comptage Décadaire'!B:B,1,FALSE),"")</f>
        <v/>
      </c>
      <c r="C49" s="28" t="str">
        <f>IF('Comptage Décadaire'!C50&lt;&gt;"",VLOOKUP('Comptage Décadaire'!C50,'Comptage Décadaire'!C:C,1,FALSE),"")</f>
        <v/>
      </c>
      <c r="D49" s="29" t="str">
        <f>IF('Comptage Décadaire'!D50&lt;&gt;"",VLOOKUP('Comptage Décadaire'!D50,Sites!$A:$B,2,FALSE),"")</f>
        <v/>
      </c>
      <c r="E49" s="29" t="str">
        <f>IF('Comptage Décadaire'!E50&lt;&gt;"",VLOOKUP('Comptage Décadaire'!E50,'Comptage Décadaire'!E:E,1,FALSE),"")</f>
        <v/>
      </c>
      <c r="F49" s="29" t="str">
        <f>IF('Comptage Décadaire'!F50&lt;&gt;"",VLOOKUP('Comptage Décadaire'!F50,Nomenclature!$B$2:$C$4,2,FALSE),"")</f>
        <v/>
      </c>
      <c r="G49" s="29" t="str">
        <f>IF('Comptage Décadaire'!G50&lt;&gt;"",VLOOKUP('Comptage Décadaire'!G50,'Comptage Décadaire'!G:G,1,FALSE),"")</f>
        <v/>
      </c>
      <c r="H49" s="29" t="str">
        <f>IF('Comptage Décadaire'!H50&lt;&gt;"",VLOOKUP('Comptage Décadaire'!H50,Nomenclature!$D$2:$E$7,2,FALSE),"")</f>
        <v/>
      </c>
      <c r="I49" s="30" t="str">
        <f>IF('Comptage Décadaire'!J50&lt;&gt;"",VLOOKUP('Comptage Décadaire'!J50,'Comptage Décadaire'!J:J,1,FALSE),"")</f>
        <v/>
      </c>
      <c r="J49" s="30" t="str">
        <f>IF('Comptage Décadaire'!K50&lt;&gt;"",VLOOKUP('Comptage Décadaire'!K50,'Comptage Décadaire'!K:K,1,FALSE),"")</f>
        <v/>
      </c>
      <c r="K49" s="30" t="str">
        <f>IF('Comptage Décadaire'!L50&lt;&gt;"",VLOOKUP('Comptage Décadaire'!L50,'Comptage Décadaire'!L:L,1,FALSE),"")</f>
        <v/>
      </c>
      <c r="L49" s="31" t="str">
        <f>IF('Comptage Décadaire'!M50&lt;&gt;"",VLOOKUP('Comptage Décadaire'!M50,'Comptage Décadaire'!M:M,1,FALSE),"")</f>
        <v/>
      </c>
      <c r="M49" s="33" t="str">
        <f>IF('Comptage Décadaire'!N50&lt;&gt;"",VLOOKUP('Comptage Décadaire'!N50,Utilisateurs!$D:$F,3,FALSE),"")</f>
        <v/>
      </c>
      <c r="N49" s="33" t="str">
        <f>IF('Comptage Décadaire'!O50&lt;&gt;"",VLOOKUP('Comptage Décadaire'!O50,Utilisateurs!$D:$F,3,FALSE),"")</f>
        <v/>
      </c>
      <c r="O49" s="33" t="str">
        <f>IF('Comptage Décadaire'!P50&lt;&gt;"",VLOOKUP('Comptage Décadaire'!P50,Utilisateurs!$D:$F,3,FALSE),"")</f>
        <v/>
      </c>
      <c r="P49" s="33" t="str">
        <f>IF('Comptage Décadaire'!Q50&lt;&gt;"",VLOOKUP('Comptage Décadaire'!Q50,Utilisateurs!$D:$F,3,FALSE),"")</f>
        <v/>
      </c>
      <c r="Q49" s="33" t="str">
        <f>IF('Comptage Décadaire'!R50&lt;&gt;"",VLOOKUP('Comptage Décadaire'!R50,Utilisateurs!$D:$F,3,FALSE),"")</f>
        <v/>
      </c>
      <c r="R49" s="30" t="str">
        <f>IF('Comptage Décadaire'!S50&lt;&gt;"",VLOOKUP('Comptage Décadaire'!S50,Nomenclature!$N:$O,2,FALSE),"")</f>
        <v/>
      </c>
      <c r="S49" s="30" t="str">
        <f>IF('Comptage Décadaire'!T50&lt;&gt;"",VLOOKUP('Comptage Décadaire'!T50,'Comptage Décadaire'!T:T,1,FALSE),"")</f>
        <v/>
      </c>
      <c r="T49" s="30" t="str">
        <f>IF('Comptage Décadaire'!U50&lt;&gt;"",VLOOKUP('Comptage Décadaire'!U50,'Comptage Décadaire'!U:U,1,FALSE),"")</f>
        <v/>
      </c>
      <c r="U49" s="30" t="str">
        <f>IF('Comptage Décadaire'!V50&lt;&gt;"",VLOOKUP('Comptage Décadaire'!V50,'Comptage Décadaire'!V:V,1,FALSE),"")</f>
        <v/>
      </c>
      <c r="V49" s="30" t="str">
        <f>IF('Comptage Décadaire'!W50&lt;&gt;"",VLOOKUP('Comptage Décadaire'!W50,'Comptage Décadaire'!W:W,1,FALSE),"")</f>
        <v/>
      </c>
      <c r="W49" s="30" t="str">
        <f>IF('Comptage Décadaire'!X50&lt;&gt;"",VLOOKUP('Comptage Décadaire'!X50,'Comptage Décadaire'!X:X,1,FALSE),"")</f>
        <v/>
      </c>
      <c r="X49" s="30" t="str">
        <f>IF('Comptage Décadaire'!Y50&lt;&gt;"",VLOOKUP('Comptage Décadaire'!Y50,'Comptage Décadaire'!Y:Y,1,FALSE),"")</f>
        <v/>
      </c>
      <c r="Y49" s="30" t="str">
        <f>IF('Comptage Décadaire'!Z50&lt;&gt;"",VLOOKUP('Comptage Décadaire'!Z50,Nomenclature!$F$2:$G$7,2,FALSE),"")</f>
        <v/>
      </c>
      <c r="Z49" s="30" t="str">
        <f>IF('Comptage Décadaire'!AA50&lt;&gt;"",VLOOKUP('Comptage Décadaire'!AA50,Nomenclature!$H$2:$I$31,2,FALSE),"")</f>
        <v/>
      </c>
      <c r="AA49" s="30" t="str">
        <f>IF('Comptage Décadaire'!AB50&lt;&gt;"",VLOOKUP('Comptage Décadaire'!AB50,Nomenclature!$J$2:$K$21,2,FALSE),"")</f>
        <v/>
      </c>
      <c r="AB49" s="30" t="str">
        <f>IF('Comptage Décadaire'!AC50&lt;&gt;"",VLOOKUP('Comptage Décadaire'!AC50,'Comptage Décadaire'!AC:AC,1,FALSE),"")</f>
        <v/>
      </c>
      <c r="AC49" s="32" t="str">
        <f>IF('Comptage Décadaire'!AD50&lt;&gt;"",VLOOKUP('Comptage Décadaire'!AD50,Nomenclature!$L$2:$M$8,2,FALSE),"")</f>
        <v/>
      </c>
      <c r="AD49" s="32" t="str">
        <f>IF('Comptage Décadaire'!AE50&lt;&gt;"",VLOOKUP('Comptage Décadaire'!AE50,Utilisateurs!$D$2:$F$81,3,FALSE),"")</f>
        <v/>
      </c>
      <c r="AE49" s="35" t="str">
        <f>IF('Comptage Décadaire'!AF50&lt;&gt;"",VLOOKUP('Comptage Décadaire'!AF50,'Comptage Décadaire'!AF:AF,1,FALSE),"")</f>
        <v/>
      </c>
      <c r="AF49" s="32" t="str">
        <f>IF('Comptage Décadaire'!AG50&lt;&gt;"",VLOOKUP('Comptage Décadaire'!AG50,'Comptage Décadaire'!AG:AG,1,FALSE),"")</f>
        <v/>
      </c>
    </row>
    <row r="50" spans="1:32" x14ac:dyDescent="0.25">
      <c r="A50" s="25" t="str">
        <f>IF('Comptage Décadaire'!A51&lt;&gt;"",VLOOKUP('Comptage Décadaire'!A51,'Comptage Décadaire'!A:A,1,FALSE),"")</f>
        <v/>
      </c>
      <c r="B50" s="27" t="str">
        <f>IF('Comptage Décadaire'!B51&lt;&gt;"",VLOOKUP('Comptage Décadaire'!B51,'Comptage Décadaire'!B:B,1,FALSE),"")</f>
        <v/>
      </c>
      <c r="C50" s="28" t="str">
        <f>IF('Comptage Décadaire'!C51&lt;&gt;"",VLOOKUP('Comptage Décadaire'!C51,'Comptage Décadaire'!C:C,1,FALSE),"")</f>
        <v/>
      </c>
      <c r="D50" s="29" t="str">
        <f>IF('Comptage Décadaire'!D51&lt;&gt;"",VLOOKUP('Comptage Décadaire'!D51,Sites!$A:$B,2,FALSE),"")</f>
        <v/>
      </c>
      <c r="E50" s="29" t="str">
        <f>IF('Comptage Décadaire'!E51&lt;&gt;"",VLOOKUP('Comptage Décadaire'!E51,'Comptage Décadaire'!E:E,1,FALSE),"")</f>
        <v/>
      </c>
      <c r="F50" s="29" t="str">
        <f>IF('Comptage Décadaire'!F51&lt;&gt;"",VLOOKUP('Comptage Décadaire'!F51,Nomenclature!$B$2:$C$4,2,FALSE),"")</f>
        <v/>
      </c>
      <c r="G50" s="29" t="str">
        <f>IF('Comptage Décadaire'!G51&lt;&gt;"",VLOOKUP('Comptage Décadaire'!G51,'Comptage Décadaire'!G:G,1,FALSE),"")</f>
        <v/>
      </c>
      <c r="H50" s="29" t="str">
        <f>IF('Comptage Décadaire'!H51&lt;&gt;"",VLOOKUP('Comptage Décadaire'!H51,Nomenclature!$D$2:$E$7,2,FALSE),"")</f>
        <v/>
      </c>
      <c r="I50" s="30" t="str">
        <f>IF('Comptage Décadaire'!J51&lt;&gt;"",VLOOKUP('Comptage Décadaire'!J51,'Comptage Décadaire'!J:J,1,FALSE),"")</f>
        <v/>
      </c>
      <c r="J50" s="30" t="str">
        <f>IF('Comptage Décadaire'!K51&lt;&gt;"",VLOOKUP('Comptage Décadaire'!K51,'Comptage Décadaire'!K:K,1,FALSE),"")</f>
        <v/>
      </c>
      <c r="K50" s="30" t="str">
        <f>IF('Comptage Décadaire'!L51&lt;&gt;"",VLOOKUP('Comptage Décadaire'!L51,'Comptage Décadaire'!L:L,1,FALSE),"")</f>
        <v/>
      </c>
      <c r="L50" s="31" t="str">
        <f>IF('Comptage Décadaire'!M51&lt;&gt;"",VLOOKUP('Comptage Décadaire'!M51,'Comptage Décadaire'!M:M,1,FALSE),"")</f>
        <v/>
      </c>
      <c r="M50" s="33" t="str">
        <f>IF('Comptage Décadaire'!N51&lt;&gt;"",VLOOKUP('Comptage Décadaire'!N51,Utilisateurs!$D:$F,3,FALSE),"")</f>
        <v/>
      </c>
      <c r="N50" s="33" t="str">
        <f>IF('Comptage Décadaire'!O51&lt;&gt;"",VLOOKUP('Comptage Décadaire'!O51,Utilisateurs!$D:$F,3,FALSE),"")</f>
        <v/>
      </c>
      <c r="O50" s="33" t="str">
        <f>IF('Comptage Décadaire'!P51&lt;&gt;"",VLOOKUP('Comptage Décadaire'!P51,Utilisateurs!$D:$F,3,FALSE),"")</f>
        <v/>
      </c>
      <c r="P50" s="33" t="str">
        <f>IF('Comptage Décadaire'!Q51&lt;&gt;"",VLOOKUP('Comptage Décadaire'!Q51,Utilisateurs!$D:$F,3,FALSE),"")</f>
        <v/>
      </c>
      <c r="Q50" s="33" t="str">
        <f>IF('Comptage Décadaire'!R51&lt;&gt;"",VLOOKUP('Comptage Décadaire'!R51,Utilisateurs!$D:$F,3,FALSE),"")</f>
        <v/>
      </c>
      <c r="R50" s="30" t="str">
        <f>IF('Comptage Décadaire'!S51&lt;&gt;"",VLOOKUP('Comptage Décadaire'!S51,Nomenclature!$N:$O,2,FALSE),"")</f>
        <v/>
      </c>
      <c r="S50" s="30" t="str">
        <f>IF('Comptage Décadaire'!T51&lt;&gt;"",VLOOKUP('Comptage Décadaire'!T51,'Comptage Décadaire'!T:T,1,FALSE),"")</f>
        <v/>
      </c>
      <c r="T50" s="30" t="str">
        <f>IF('Comptage Décadaire'!U51&lt;&gt;"",VLOOKUP('Comptage Décadaire'!U51,'Comptage Décadaire'!U:U,1,FALSE),"")</f>
        <v/>
      </c>
      <c r="U50" s="30" t="str">
        <f>IF('Comptage Décadaire'!V51&lt;&gt;"",VLOOKUP('Comptage Décadaire'!V51,'Comptage Décadaire'!V:V,1,FALSE),"")</f>
        <v/>
      </c>
      <c r="V50" s="30" t="str">
        <f>IF('Comptage Décadaire'!W51&lt;&gt;"",VLOOKUP('Comptage Décadaire'!W51,'Comptage Décadaire'!W:W,1,FALSE),"")</f>
        <v/>
      </c>
      <c r="W50" s="30" t="str">
        <f>IF('Comptage Décadaire'!X51&lt;&gt;"",VLOOKUP('Comptage Décadaire'!X51,'Comptage Décadaire'!X:X,1,FALSE),"")</f>
        <v/>
      </c>
      <c r="X50" s="30" t="str">
        <f>IF('Comptage Décadaire'!Y51&lt;&gt;"",VLOOKUP('Comptage Décadaire'!Y51,'Comptage Décadaire'!Y:Y,1,FALSE),"")</f>
        <v/>
      </c>
      <c r="Y50" s="30" t="str">
        <f>IF('Comptage Décadaire'!Z51&lt;&gt;"",VLOOKUP('Comptage Décadaire'!Z51,Nomenclature!$F$2:$G$7,2,FALSE),"")</f>
        <v/>
      </c>
      <c r="Z50" s="30" t="str">
        <f>IF('Comptage Décadaire'!AA51&lt;&gt;"",VLOOKUP('Comptage Décadaire'!AA51,Nomenclature!$H$2:$I$31,2,FALSE),"")</f>
        <v/>
      </c>
      <c r="AA50" s="30" t="str">
        <f>IF('Comptage Décadaire'!AB51&lt;&gt;"",VLOOKUP('Comptage Décadaire'!AB51,Nomenclature!$J$2:$K$21,2,FALSE),"")</f>
        <v/>
      </c>
      <c r="AB50" s="30" t="str">
        <f>IF('Comptage Décadaire'!AC51&lt;&gt;"",VLOOKUP('Comptage Décadaire'!AC51,'Comptage Décadaire'!AC:AC,1,FALSE),"")</f>
        <v/>
      </c>
      <c r="AC50" s="32" t="str">
        <f>IF('Comptage Décadaire'!AD51&lt;&gt;"",VLOOKUP('Comptage Décadaire'!AD51,Nomenclature!$L$2:$M$8,2,FALSE),"")</f>
        <v/>
      </c>
      <c r="AD50" s="32" t="str">
        <f>IF('Comptage Décadaire'!AE51&lt;&gt;"",VLOOKUP('Comptage Décadaire'!AE51,Utilisateurs!$D$2:$F$81,3,FALSE),"")</f>
        <v/>
      </c>
      <c r="AE50" s="35" t="str">
        <f>IF('Comptage Décadaire'!AF51&lt;&gt;"",VLOOKUP('Comptage Décadaire'!AF51,'Comptage Décadaire'!AF:AF,1,FALSE),"")</f>
        <v/>
      </c>
      <c r="AF50" s="32" t="str">
        <f>IF('Comptage Décadaire'!AG51&lt;&gt;"",VLOOKUP('Comptage Décadaire'!AG51,'Comptage Décadaire'!AG:AG,1,FALSE),"")</f>
        <v/>
      </c>
    </row>
    <row r="51" spans="1:32" x14ac:dyDescent="0.25">
      <c r="A51" s="25" t="str">
        <f>IF('Comptage Décadaire'!A52&lt;&gt;"",VLOOKUP('Comptage Décadaire'!A52,'Comptage Décadaire'!A:A,1,FALSE),"")</f>
        <v/>
      </c>
      <c r="B51" s="27" t="str">
        <f>IF('Comptage Décadaire'!B52&lt;&gt;"",VLOOKUP('Comptage Décadaire'!B52,'Comptage Décadaire'!B:B,1,FALSE),"")</f>
        <v/>
      </c>
      <c r="C51" s="28" t="str">
        <f>IF('Comptage Décadaire'!C52&lt;&gt;"",VLOOKUP('Comptage Décadaire'!C52,'Comptage Décadaire'!C:C,1,FALSE),"")</f>
        <v/>
      </c>
      <c r="D51" s="29" t="str">
        <f>IF('Comptage Décadaire'!D52&lt;&gt;"",VLOOKUP('Comptage Décadaire'!D52,Sites!$A:$B,2,FALSE),"")</f>
        <v/>
      </c>
      <c r="E51" s="29" t="str">
        <f>IF('Comptage Décadaire'!E52&lt;&gt;"",VLOOKUP('Comptage Décadaire'!E52,'Comptage Décadaire'!E:E,1,FALSE),"")</f>
        <v/>
      </c>
      <c r="F51" s="29" t="str">
        <f>IF('Comptage Décadaire'!F52&lt;&gt;"",VLOOKUP('Comptage Décadaire'!F52,Nomenclature!$B$2:$C$4,2,FALSE),"")</f>
        <v/>
      </c>
      <c r="G51" s="29" t="str">
        <f>IF('Comptage Décadaire'!G52&lt;&gt;"",VLOOKUP('Comptage Décadaire'!G52,'Comptage Décadaire'!G:G,1,FALSE),"")</f>
        <v/>
      </c>
      <c r="H51" s="29" t="str">
        <f>IF('Comptage Décadaire'!H52&lt;&gt;"",VLOOKUP('Comptage Décadaire'!H52,Nomenclature!$D$2:$E$7,2,FALSE),"")</f>
        <v/>
      </c>
      <c r="I51" s="30" t="str">
        <f>IF('Comptage Décadaire'!J52&lt;&gt;"",VLOOKUP('Comptage Décadaire'!J52,'Comptage Décadaire'!J:J,1,FALSE),"")</f>
        <v/>
      </c>
      <c r="J51" s="30" t="str">
        <f>IF('Comptage Décadaire'!K52&lt;&gt;"",VLOOKUP('Comptage Décadaire'!K52,'Comptage Décadaire'!K:K,1,FALSE),"")</f>
        <v/>
      </c>
      <c r="K51" s="30" t="str">
        <f>IF('Comptage Décadaire'!L52&lt;&gt;"",VLOOKUP('Comptage Décadaire'!L52,'Comptage Décadaire'!L:L,1,FALSE),"")</f>
        <v/>
      </c>
      <c r="L51" s="31" t="str">
        <f>IF('Comptage Décadaire'!M52&lt;&gt;"",VLOOKUP('Comptage Décadaire'!M52,'Comptage Décadaire'!M:M,1,FALSE),"")</f>
        <v/>
      </c>
      <c r="M51" s="33" t="str">
        <f>IF('Comptage Décadaire'!N52&lt;&gt;"",VLOOKUP('Comptage Décadaire'!N52,Utilisateurs!$D:$F,3,FALSE),"")</f>
        <v/>
      </c>
      <c r="N51" s="33" t="str">
        <f>IF('Comptage Décadaire'!O52&lt;&gt;"",VLOOKUP('Comptage Décadaire'!O52,Utilisateurs!$D:$F,3,FALSE),"")</f>
        <v/>
      </c>
      <c r="O51" s="33" t="str">
        <f>IF('Comptage Décadaire'!P52&lt;&gt;"",VLOOKUP('Comptage Décadaire'!P52,Utilisateurs!$D:$F,3,FALSE),"")</f>
        <v/>
      </c>
      <c r="P51" s="33" t="str">
        <f>IF('Comptage Décadaire'!Q52&lt;&gt;"",VLOOKUP('Comptage Décadaire'!Q52,Utilisateurs!$D:$F,3,FALSE),"")</f>
        <v/>
      </c>
      <c r="Q51" s="33" t="str">
        <f>IF('Comptage Décadaire'!R52&lt;&gt;"",VLOOKUP('Comptage Décadaire'!R52,Utilisateurs!$D:$F,3,FALSE),"")</f>
        <v/>
      </c>
      <c r="R51" s="30" t="str">
        <f>IF('Comptage Décadaire'!S52&lt;&gt;"",VLOOKUP('Comptage Décadaire'!S52,Nomenclature!$N:$O,2,FALSE),"")</f>
        <v/>
      </c>
      <c r="S51" s="30" t="str">
        <f>IF('Comptage Décadaire'!T52&lt;&gt;"",VLOOKUP('Comptage Décadaire'!T52,'Comptage Décadaire'!T:T,1,FALSE),"")</f>
        <v/>
      </c>
      <c r="T51" s="30" t="str">
        <f>IF('Comptage Décadaire'!U52&lt;&gt;"",VLOOKUP('Comptage Décadaire'!U52,'Comptage Décadaire'!U:U,1,FALSE),"")</f>
        <v/>
      </c>
      <c r="U51" s="30" t="str">
        <f>IF('Comptage Décadaire'!V52&lt;&gt;"",VLOOKUP('Comptage Décadaire'!V52,'Comptage Décadaire'!V:V,1,FALSE),"")</f>
        <v/>
      </c>
      <c r="V51" s="30" t="str">
        <f>IF('Comptage Décadaire'!W52&lt;&gt;"",VLOOKUP('Comptage Décadaire'!W52,'Comptage Décadaire'!W:W,1,FALSE),"")</f>
        <v/>
      </c>
      <c r="W51" s="30" t="str">
        <f>IF('Comptage Décadaire'!X52&lt;&gt;"",VLOOKUP('Comptage Décadaire'!X52,'Comptage Décadaire'!X:X,1,FALSE),"")</f>
        <v/>
      </c>
      <c r="X51" s="30" t="str">
        <f>IF('Comptage Décadaire'!Y52&lt;&gt;"",VLOOKUP('Comptage Décadaire'!Y52,'Comptage Décadaire'!Y:Y,1,FALSE),"")</f>
        <v/>
      </c>
      <c r="Y51" s="30" t="str">
        <f>IF('Comptage Décadaire'!Z52&lt;&gt;"",VLOOKUP('Comptage Décadaire'!Z52,Nomenclature!$F$2:$G$7,2,FALSE),"")</f>
        <v/>
      </c>
      <c r="Z51" s="30" t="str">
        <f>IF('Comptage Décadaire'!AA52&lt;&gt;"",VLOOKUP('Comptage Décadaire'!AA52,Nomenclature!$H$2:$I$31,2,FALSE),"")</f>
        <v/>
      </c>
      <c r="AA51" s="30" t="str">
        <f>IF('Comptage Décadaire'!AB52&lt;&gt;"",VLOOKUP('Comptage Décadaire'!AB52,Nomenclature!$J$2:$K$21,2,FALSE),"")</f>
        <v/>
      </c>
      <c r="AB51" s="30" t="str">
        <f>IF('Comptage Décadaire'!AC52&lt;&gt;"",VLOOKUP('Comptage Décadaire'!AC52,'Comptage Décadaire'!AC:AC,1,FALSE),"")</f>
        <v/>
      </c>
      <c r="AC51" s="32" t="str">
        <f>IF('Comptage Décadaire'!AD52&lt;&gt;"",VLOOKUP('Comptage Décadaire'!AD52,Nomenclature!$L$2:$M$8,2,FALSE),"")</f>
        <v/>
      </c>
      <c r="AD51" s="32" t="str">
        <f>IF('Comptage Décadaire'!AE52&lt;&gt;"",VLOOKUP('Comptage Décadaire'!AE52,Utilisateurs!$D$2:$F$81,3,FALSE),"")</f>
        <v/>
      </c>
      <c r="AE51" s="35" t="str">
        <f>IF('Comptage Décadaire'!AF52&lt;&gt;"",VLOOKUP('Comptage Décadaire'!AF52,'Comptage Décadaire'!AF:AF,1,FALSE),"")</f>
        <v/>
      </c>
      <c r="AF51" s="32" t="str">
        <f>IF('Comptage Décadaire'!AG52&lt;&gt;"",VLOOKUP('Comptage Décadaire'!AG52,'Comptage Décadaire'!AG:AG,1,FALSE),"")</f>
        <v/>
      </c>
    </row>
    <row r="52" spans="1:32" x14ac:dyDescent="0.25">
      <c r="A52" s="25" t="str">
        <f>IF('Comptage Décadaire'!A53&lt;&gt;"",VLOOKUP('Comptage Décadaire'!A53,'Comptage Décadaire'!A:A,1,FALSE),"")</f>
        <v/>
      </c>
      <c r="B52" s="27" t="str">
        <f>IF('Comptage Décadaire'!B53&lt;&gt;"",VLOOKUP('Comptage Décadaire'!B53,'Comptage Décadaire'!B:B,1,FALSE),"")</f>
        <v/>
      </c>
      <c r="C52" s="28" t="str">
        <f>IF('Comptage Décadaire'!C53&lt;&gt;"",VLOOKUP('Comptage Décadaire'!C53,'Comptage Décadaire'!C:C,1,FALSE),"")</f>
        <v/>
      </c>
      <c r="D52" s="29" t="str">
        <f>IF('Comptage Décadaire'!D53&lt;&gt;"",VLOOKUP('Comptage Décadaire'!D53,Sites!$A:$B,2,FALSE),"")</f>
        <v/>
      </c>
      <c r="E52" s="29" t="str">
        <f>IF('Comptage Décadaire'!E53&lt;&gt;"",VLOOKUP('Comptage Décadaire'!E53,'Comptage Décadaire'!E:E,1,FALSE),"")</f>
        <v/>
      </c>
      <c r="F52" s="29" t="str">
        <f>IF('Comptage Décadaire'!F53&lt;&gt;"",VLOOKUP('Comptage Décadaire'!F53,Nomenclature!$B$2:$C$4,2,FALSE),"")</f>
        <v/>
      </c>
      <c r="G52" s="29" t="str">
        <f>IF('Comptage Décadaire'!G53&lt;&gt;"",VLOOKUP('Comptage Décadaire'!G53,'Comptage Décadaire'!G:G,1,FALSE),"")</f>
        <v/>
      </c>
      <c r="H52" s="29" t="str">
        <f>IF('Comptage Décadaire'!H53&lt;&gt;"",VLOOKUP('Comptage Décadaire'!H53,Nomenclature!$D$2:$E$7,2,FALSE),"")</f>
        <v/>
      </c>
      <c r="I52" s="30" t="str">
        <f>IF('Comptage Décadaire'!J53&lt;&gt;"",VLOOKUP('Comptage Décadaire'!J53,'Comptage Décadaire'!J:J,1,FALSE),"")</f>
        <v/>
      </c>
      <c r="J52" s="30" t="str">
        <f>IF('Comptage Décadaire'!K53&lt;&gt;"",VLOOKUP('Comptage Décadaire'!K53,'Comptage Décadaire'!K:K,1,FALSE),"")</f>
        <v/>
      </c>
      <c r="K52" s="30" t="str">
        <f>IF('Comptage Décadaire'!L53&lt;&gt;"",VLOOKUP('Comptage Décadaire'!L53,'Comptage Décadaire'!L:L,1,FALSE),"")</f>
        <v/>
      </c>
      <c r="L52" s="31" t="str">
        <f>IF('Comptage Décadaire'!M53&lt;&gt;"",VLOOKUP('Comptage Décadaire'!M53,'Comptage Décadaire'!M:M,1,FALSE),"")</f>
        <v/>
      </c>
      <c r="M52" s="33" t="str">
        <f>IF('Comptage Décadaire'!N53&lt;&gt;"",VLOOKUP('Comptage Décadaire'!N53,Utilisateurs!$D:$F,3,FALSE),"")</f>
        <v/>
      </c>
      <c r="N52" s="33" t="str">
        <f>IF('Comptage Décadaire'!O53&lt;&gt;"",VLOOKUP('Comptage Décadaire'!O53,Utilisateurs!$D:$F,3,FALSE),"")</f>
        <v/>
      </c>
      <c r="O52" s="33" t="str">
        <f>IF('Comptage Décadaire'!P53&lt;&gt;"",VLOOKUP('Comptage Décadaire'!P53,Utilisateurs!$D:$F,3,FALSE),"")</f>
        <v/>
      </c>
      <c r="P52" s="33" t="str">
        <f>IF('Comptage Décadaire'!Q53&lt;&gt;"",VLOOKUP('Comptage Décadaire'!Q53,Utilisateurs!$D:$F,3,FALSE),"")</f>
        <v/>
      </c>
      <c r="Q52" s="33" t="str">
        <f>IF('Comptage Décadaire'!R53&lt;&gt;"",VLOOKUP('Comptage Décadaire'!R53,Utilisateurs!$D:$F,3,FALSE),"")</f>
        <v/>
      </c>
      <c r="R52" s="30" t="str">
        <f>IF('Comptage Décadaire'!S53&lt;&gt;"",VLOOKUP('Comptage Décadaire'!S53,Nomenclature!$N:$O,2,FALSE),"")</f>
        <v/>
      </c>
      <c r="S52" s="30" t="str">
        <f>IF('Comptage Décadaire'!T53&lt;&gt;"",VLOOKUP('Comptage Décadaire'!T53,'Comptage Décadaire'!T:T,1,FALSE),"")</f>
        <v/>
      </c>
      <c r="T52" s="30" t="str">
        <f>IF('Comptage Décadaire'!U53&lt;&gt;"",VLOOKUP('Comptage Décadaire'!U53,'Comptage Décadaire'!U:U,1,FALSE),"")</f>
        <v/>
      </c>
      <c r="U52" s="30" t="str">
        <f>IF('Comptage Décadaire'!V53&lt;&gt;"",VLOOKUP('Comptage Décadaire'!V53,'Comptage Décadaire'!V:V,1,FALSE),"")</f>
        <v/>
      </c>
      <c r="V52" s="30" t="str">
        <f>IF('Comptage Décadaire'!W53&lt;&gt;"",VLOOKUP('Comptage Décadaire'!W53,'Comptage Décadaire'!W:W,1,FALSE),"")</f>
        <v/>
      </c>
      <c r="W52" s="30" t="str">
        <f>IF('Comptage Décadaire'!X53&lt;&gt;"",VLOOKUP('Comptage Décadaire'!X53,'Comptage Décadaire'!X:X,1,FALSE),"")</f>
        <v/>
      </c>
      <c r="X52" s="30" t="str">
        <f>IF('Comptage Décadaire'!Y53&lt;&gt;"",VLOOKUP('Comptage Décadaire'!Y53,'Comptage Décadaire'!Y:Y,1,FALSE),"")</f>
        <v/>
      </c>
      <c r="Y52" s="30" t="str">
        <f>IF('Comptage Décadaire'!Z53&lt;&gt;"",VLOOKUP('Comptage Décadaire'!Z53,Nomenclature!$F$2:$G$7,2,FALSE),"")</f>
        <v/>
      </c>
      <c r="Z52" s="30" t="str">
        <f>IF('Comptage Décadaire'!AA53&lt;&gt;"",VLOOKUP('Comptage Décadaire'!AA53,Nomenclature!$H$2:$I$31,2,FALSE),"")</f>
        <v/>
      </c>
      <c r="AA52" s="30" t="str">
        <f>IF('Comptage Décadaire'!AB53&lt;&gt;"",VLOOKUP('Comptage Décadaire'!AB53,Nomenclature!$J$2:$K$21,2,FALSE),"")</f>
        <v/>
      </c>
      <c r="AB52" s="30" t="str">
        <f>IF('Comptage Décadaire'!AC53&lt;&gt;"",VLOOKUP('Comptage Décadaire'!AC53,'Comptage Décadaire'!AC:AC,1,FALSE),"")</f>
        <v/>
      </c>
      <c r="AC52" s="32" t="str">
        <f>IF('Comptage Décadaire'!AD53&lt;&gt;"",VLOOKUP('Comptage Décadaire'!AD53,Nomenclature!$L$2:$M$8,2,FALSE),"")</f>
        <v/>
      </c>
      <c r="AD52" s="32" t="str">
        <f>IF('Comptage Décadaire'!AE53&lt;&gt;"",VLOOKUP('Comptage Décadaire'!AE53,Utilisateurs!$D$2:$F$81,3,FALSE),"")</f>
        <v/>
      </c>
      <c r="AE52" s="35" t="str">
        <f>IF('Comptage Décadaire'!AF53&lt;&gt;"",VLOOKUP('Comptage Décadaire'!AF53,'Comptage Décadaire'!AF:AF,1,FALSE),"")</f>
        <v/>
      </c>
      <c r="AF52" s="32" t="str">
        <f>IF('Comptage Décadaire'!AG53&lt;&gt;"",VLOOKUP('Comptage Décadaire'!AG53,'Comptage Décadaire'!AG:AG,1,FALSE),"")</f>
        <v/>
      </c>
    </row>
    <row r="53" spans="1:32" x14ac:dyDescent="0.25">
      <c r="A53" s="25" t="str">
        <f>IF('Comptage Décadaire'!A54&lt;&gt;"",VLOOKUP('Comptage Décadaire'!A54,'Comptage Décadaire'!A:A,1,FALSE),"")</f>
        <v/>
      </c>
      <c r="B53" s="27" t="str">
        <f>IF('Comptage Décadaire'!B54&lt;&gt;"",VLOOKUP('Comptage Décadaire'!B54,'Comptage Décadaire'!B:B,1,FALSE),"")</f>
        <v/>
      </c>
      <c r="C53" s="28" t="str">
        <f>IF('Comptage Décadaire'!C54&lt;&gt;"",VLOOKUP('Comptage Décadaire'!C54,'Comptage Décadaire'!C:C,1,FALSE),"")</f>
        <v/>
      </c>
      <c r="D53" s="29" t="str">
        <f>IF('Comptage Décadaire'!D54&lt;&gt;"",VLOOKUP('Comptage Décadaire'!D54,Sites!$A:$B,2,FALSE),"")</f>
        <v/>
      </c>
      <c r="E53" s="29" t="str">
        <f>IF('Comptage Décadaire'!E54&lt;&gt;"",VLOOKUP('Comptage Décadaire'!E54,'Comptage Décadaire'!E:E,1,FALSE),"")</f>
        <v/>
      </c>
      <c r="F53" s="29" t="str">
        <f>IF('Comptage Décadaire'!F54&lt;&gt;"",VLOOKUP('Comptage Décadaire'!F54,Nomenclature!$B$2:$C$4,2,FALSE),"")</f>
        <v/>
      </c>
      <c r="G53" s="29" t="str">
        <f>IF('Comptage Décadaire'!G54&lt;&gt;"",VLOOKUP('Comptage Décadaire'!G54,'Comptage Décadaire'!G:G,1,FALSE),"")</f>
        <v/>
      </c>
      <c r="H53" s="29" t="str">
        <f>IF('Comptage Décadaire'!H54&lt;&gt;"",VLOOKUP('Comptage Décadaire'!H54,Nomenclature!$D$2:$E$7,2,FALSE),"")</f>
        <v/>
      </c>
      <c r="I53" s="30" t="str">
        <f>IF('Comptage Décadaire'!J54&lt;&gt;"",VLOOKUP('Comptage Décadaire'!J54,'Comptage Décadaire'!J:J,1,FALSE),"")</f>
        <v/>
      </c>
      <c r="J53" s="30" t="str">
        <f>IF('Comptage Décadaire'!K54&lt;&gt;"",VLOOKUP('Comptage Décadaire'!K54,'Comptage Décadaire'!K:K,1,FALSE),"")</f>
        <v/>
      </c>
      <c r="K53" s="30" t="str">
        <f>IF('Comptage Décadaire'!L54&lt;&gt;"",VLOOKUP('Comptage Décadaire'!L54,'Comptage Décadaire'!L:L,1,FALSE),"")</f>
        <v/>
      </c>
      <c r="L53" s="31" t="str">
        <f>IF('Comptage Décadaire'!M54&lt;&gt;"",VLOOKUP('Comptage Décadaire'!M54,'Comptage Décadaire'!M:M,1,FALSE),"")</f>
        <v/>
      </c>
      <c r="M53" s="33" t="str">
        <f>IF('Comptage Décadaire'!N54&lt;&gt;"",VLOOKUP('Comptage Décadaire'!N54,Utilisateurs!$D:$F,3,FALSE),"")</f>
        <v/>
      </c>
      <c r="N53" s="33" t="str">
        <f>IF('Comptage Décadaire'!O54&lt;&gt;"",VLOOKUP('Comptage Décadaire'!O54,Utilisateurs!$D:$F,3,FALSE),"")</f>
        <v/>
      </c>
      <c r="O53" s="33" t="str">
        <f>IF('Comptage Décadaire'!P54&lt;&gt;"",VLOOKUP('Comptage Décadaire'!P54,Utilisateurs!$D:$F,3,FALSE),"")</f>
        <v/>
      </c>
      <c r="P53" s="33" t="str">
        <f>IF('Comptage Décadaire'!Q54&lt;&gt;"",VLOOKUP('Comptage Décadaire'!Q54,Utilisateurs!$D:$F,3,FALSE),"")</f>
        <v/>
      </c>
      <c r="Q53" s="33" t="str">
        <f>IF('Comptage Décadaire'!R54&lt;&gt;"",VLOOKUP('Comptage Décadaire'!R54,Utilisateurs!$D:$F,3,FALSE),"")</f>
        <v/>
      </c>
      <c r="R53" s="30" t="str">
        <f>IF('Comptage Décadaire'!S54&lt;&gt;"",VLOOKUP('Comptage Décadaire'!S54,Nomenclature!$N:$O,2,FALSE),"")</f>
        <v/>
      </c>
      <c r="S53" s="30" t="str">
        <f>IF('Comptage Décadaire'!T54&lt;&gt;"",VLOOKUP('Comptage Décadaire'!T54,'Comptage Décadaire'!T:T,1,FALSE),"")</f>
        <v/>
      </c>
      <c r="T53" s="30" t="str">
        <f>IF('Comptage Décadaire'!U54&lt;&gt;"",VLOOKUP('Comptage Décadaire'!U54,'Comptage Décadaire'!U:U,1,FALSE),"")</f>
        <v/>
      </c>
      <c r="U53" s="30" t="str">
        <f>IF('Comptage Décadaire'!V54&lt;&gt;"",VLOOKUP('Comptage Décadaire'!V54,'Comptage Décadaire'!V:V,1,FALSE),"")</f>
        <v/>
      </c>
      <c r="V53" s="30" t="str">
        <f>IF('Comptage Décadaire'!W54&lt;&gt;"",VLOOKUP('Comptage Décadaire'!W54,'Comptage Décadaire'!W:W,1,FALSE),"")</f>
        <v/>
      </c>
      <c r="W53" s="30" t="str">
        <f>IF('Comptage Décadaire'!X54&lt;&gt;"",VLOOKUP('Comptage Décadaire'!X54,'Comptage Décadaire'!X:X,1,FALSE),"")</f>
        <v/>
      </c>
      <c r="X53" s="30" t="str">
        <f>IF('Comptage Décadaire'!Y54&lt;&gt;"",VLOOKUP('Comptage Décadaire'!Y54,'Comptage Décadaire'!Y:Y,1,FALSE),"")</f>
        <v/>
      </c>
      <c r="Y53" s="30" t="str">
        <f>IF('Comptage Décadaire'!Z54&lt;&gt;"",VLOOKUP('Comptage Décadaire'!Z54,Nomenclature!$F$2:$G$7,2,FALSE),"")</f>
        <v/>
      </c>
      <c r="Z53" s="30" t="str">
        <f>IF('Comptage Décadaire'!AA54&lt;&gt;"",VLOOKUP('Comptage Décadaire'!AA54,Nomenclature!$H$2:$I$31,2,FALSE),"")</f>
        <v/>
      </c>
      <c r="AA53" s="30" t="str">
        <f>IF('Comptage Décadaire'!AB54&lt;&gt;"",VLOOKUP('Comptage Décadaire'!AB54,Nomenclature!$J$2:$K$21,2,FALSE),"")</f>
        <v/>
      </c>
      <c r="AB53" s="30" t="str">
        <f>IF('Comptage Décadaire'!AC54&lt;&gt;"",VLOOKUP('Comptage Décadaire'!AC54,'Comptage Décadaire'!AC:AC,1,FALSE),"")</f>
        <v/>
      </c>
      <c r="AC53" s="32" t="str">
        <f>IF('Comptage Décadaire'!AD54&lt;&gt;"",VLOOKUP('Comptage Décadaire'!AD54,Nomenclature!$L$2:$M$8,2,FALSE),"")</f>
        <v/>
      </c>
      <c r="AD53" s="32" t="str">
        <f>IF('Comptage Décadaire'!AE54&lt;&gt;"",VLOOKUP('Comptage Décadaire'!AE54,Utilisateurs!$D$2:$F$81,3,FALSE),"")</f>
        <v/>
      </c>
      <c r="AE53" s="35" t="str">
        <f>IF('Comptage Décadaire'!AF54&lt;&gt;"",VLOOKUP('Comptage Décadaire'!AF54,'Comptage Décadaire'!AF:AF,1,FALSE),"")</f>
        <v/>
      </c>
      <c r="AF53" s="32" t="str">
        <f>IF('Comptage Décadaire'!AG54&lt;&gt;"",VLOOKUP('Comptage Décadaire'!AG54,'Comptage Décadaire'!AG:AG,1,FALSE),"")</f>
        <v/>
      </c>
    </row>
    <row r="54" spans="1:32" x14ac:dyDescent="0.25">
      <c r="A54" s="25" t="str">
        <f>IF('Comptage Décadaire'!A55&lt;&gt;"",VLOOKUP('Comptage Décadaire'!A55,'Comptage Décadaire'!A:A,1,FALSE),"")</f>
        <v/>
      </c>
      <c r="B54" s="27" t="str">
        <f>IF('Comptage Décadaire'!B55&lt;&gt;"",VLOOKUP('Comptage Décadaire'!B55,'Comptage Décadaire'!B:B,1,FALSE),"")</f>
        <v/>
      </c>
      <c r="C54" s="28" t="str">
        <f>IF('Comptage Décadaire'!C55&lt;&gt;"",VLOOKUP('Comptage Décadaire'!C55,'Comptage Décadaire'!C:C,1,FALSE),"")</f>
        <v/>
      </c>
      <c r="D54" s="29" t="str">
        <f>IF('Comptage Décadaire'!D55&lt;&gt;"",VLOOKUP('Comptage Décadaire'!D55,Sites!$A:$B,2,FALSE),"")</f>
        <v/>
      </c>
      <c r="E54" s="29" t="str">
        <f>IF('Comptage Décadaire'!E55&lt;&gt;"",VLOOKUP('Comptage Décadaire'!E55,'Comptage Décadaire'!E:E,1,FALSE),"")</f>
        <v/>
      </c>
      <c r="F54" s="29" t="str">
        <f>IF('Comptage Décadaire'!F55&lt;&gt;"",VLOOKUP('Comptage Décadaire'!F55,Nomenclature!$B$2:$C$4,2,FALSE),"")</f>
        <v/>
      </c>
      <c r="G54" s="29" t="str">
        <f>IF('Comptage Décadaire'!G55&lt;&gt;"",VLOOKUP('Comptage Décadaire'!G55,'Comptage Décadaire'!G:G,1,FALSE),"")</f>
        <v/>
      </c>
      <c r="H54" s="29" t="str">
        <f>IF('Comptage Décadaire'!H55&lt;&gt;"",VLOOKUP('Comptage Décadaire'!H55,Nomenclature!$D$2:$E$7,2,FALSE),"")</f>
        <v/>
      </c>
      <c r="I54" s="30" t="str">
        <f>IF('Comptage Décadaire'!J55&lt;&gt;"",VLOOKUP('Comptage Décadaire'!J55,'Comptage Décadaire'!J:J,1,FALSE),"")</f>
        <v/>
      </c>
      <c r="J54" s="30" t="str">
        <f>IF('Comptage Décadaire'!K55&lt;&gt;"",VLOOKUP('Comptage Décadaire'!K55,'Comptage Décadaire'!K:K,1,FALSE),"")</f>
        <v/>
      </c>
      <c r="K54" s="30" t="str">
        <f>IF('Comptage Décadaire'!L55&lt;&gt;"",VLOOKUP('Comptage Décadaire'!L55,'Comptage Décadaire'!L:L,1,FALSE),"")</f>
        <v/>
      </c>
      <c r="L54" s="31" t="str">
        <f>IF('Comptage Décadaire'!M55&lt;&gt;"",VLOOKUP('Comptage Décadaire'!M55,'Comptage Décadaire'!M:M,1,FALSE),"")</f>
        <v/>
      </c>
      <c r="M54" s="33" t="str">
        <f>IF('Comptage Décadaire'!N55&lt;&gt;"",VLOOKUP('Comptage Décadaire'!N55,Utilisateurs!$D:$F,3,FALSE),"")</f>
        <v/>
      </c>
      <c r="N54" s="33" t="str">
        <f>IF('Comptage Décadaire'!O55&lt;&gt;"",VLOOKUP('Comptage Décadaire'!O55,Utilisateurs!$D:$F,3,FALSE),"")</f>
        <v/>
      </c>
      <c r="O54" s="33" t="str">
        <f>IF('Comptage Décadaire'!P55&lt;&gt;"",VLOOKUP('Comptage Décadaire'!P55,Utilisateurs!$D:$F,3,FALSE),"")</f>
        <v/>
      </c>
      <c r="P54" s="33" t="str">
        <f>IF('Comptage Décadaire'!Q55&lt;&gt;"",VLOOKUP('Comptage Décadaire'!Q55,Utilisateurs!$D:$F,3,FALSE),"")</f>
        <v/>
      </c>
      <c r="Q54" s="33" t="str">
        <f>IF('Comptage Décadaire'!R55&lt;&gt;"",VLOOKUP('Comptage Décadaire'!R55,Utilisateurs!$D:$F,3,FALSE),"")</f>
        <v/>
      </c>
      <c r="R54" s="30" t="str">
        <f>IF('Comptage Décadaire'!S55&lt;&gt;"",VLOOKUP('Comptage Décadaire'!S55,Nomenclature!$N:$O,2,FALSE),"")</f>
        <v/>
      </c>
      <c r="S54" s="30" t="str">
        <f>IF('Comptage Décadaire'!T55&lt;&gt;"",VLOOKUP('Comptage Décadaire'!T55,'Comptage Décadaire'!T:T,1,FALSE),"")</f>
        <v/>
      </c>
      <c r="T54" s="30" t="str">
        <f>IF('Comptage Décadaire'!U55&lt;&gt;"",VLOOKUP('Comptage Décadaire'!U55,'Comptage Décadaire'!U:U,1,FALSE),"")</f>
        <v/>
      </c>
      <c r="U54" s="30" t="str">
        <f>IF('Comptage Décadaire'!V55&lt;&gt;"",VLOOKUP('Comptage Décadaire'!V55,'Comptage Décadaire'!V:V,1,FALSE),"")</f>
        <v/>
      </c>
      <c r="V54" s="30" t="str">
        <f>IF('Comptage Décadaire'!W55&lt;&gt;"",VLOOKUP('Comptage Décadaire'!W55,'Comptage Décadaire'!W:W,1,FALSE),"")</f>
        <v/>
      </c>
      <c r="W54" s="30" t="str">
        <f>IF('Comptage Décadaire'!X55&lt;&gt;"",VLOOKUP('Comptage Décadaire'!X55,'Comptage Décadaire'!X:X,1,FALSE),"")</f>
        <v/>
      </c>
      <c r="X54" s="30" t="str">
        <f>IF('Comptage Décadaire'!Y55&lt;&gt;"",VLOOKUP('Comptage Décadaire'!Y55,'Comptage Décadaire'!Y:Y,1,FALSE),"")</f>
        <v/>
      </c>
      <c r="Y54" s="30" t="str">
        <f>IF('Comptage Décadaire'!Z55&lt;&gt;"",VLOOKUP('Comptage Décadaire'!Z55,Nomenclature!$F$2:$G$7,2,FALSE),"")</f>
        <v/>
      </c>
      <c r="Z54" s="30" t="str">
        <f>IF('Comptage Décadaire'!AA55&lt;&gt;"",VLOOKUP('Comptage Décadaire'!AA55,Nomenclature!$H$2:$I$31,2,FALSE),"")</f>
        <v/>
      </c>
      <c r="AA54" s="30" t="str">
        <f>IF('Comptage Décadaire'!AB55&lt;&gt;"",VLOOKUP('Comptage Décadaire'!AB55,Nomenclature!$J$2:$K$21,2,FALSE),"")</f>
        <v/>
      </c>
      <c r="AB54" s="30" t="str">
        <f>IF('Comptage Décadaire'!AC55&lt;&gt;"",VLOOKUP('Comptage Décadaire'!AC55,'Comptage Décadaire'!AC:AC,1,FALSE),"")</f>
        <v/>
      </c>
      <c r="AC54" s="32" t="str">
        <f>IF('Comptage Décadaire'!AD55&lt;&gt;"",VLOOKUP('Comptage Décadaire'!AD55,Nomenclature!$L$2:$M$8,2,FALSE),"")</f>
        <v/>
      </c>
      <c r="AD54" s="32" t="str">
        <f>IF('Comptage Décadaire'!AE55&lt;&gt;"",VLOOKUP('Comptage Décadaire'!AE55,Utilisateurs!$D$2:$F$81,3,FALSE),"")</f>
        <v/>
      </c>
      <c r="AE54" s="35" t="str">
        <f>IF('Comptage Décadaire'!AF55&lt;&gt;"",VLOOKUP('Comptage Décadaire'!AF55,'Comptage Décadaire'!AF:AF,1,FALSE),"")</f>
        <v/>
      </c>
      <c r="AF54" s="32" t="str">
        <f>IF('Comptage Décadaire'!AG55&lt;&gt;"",VLOOKUP('Comptage Décadaire'!AG55,'Comptage Décadaire'!AG:AG,1,FALSE),"")</f>
        <v/>
      </c>
    </row>
    <row r="55" spans="1:32" x14ac:dyDescent="0.25">
      <c r="A55" s="25" t="str">
        <f>IF('Comptage Décadaire'!A56&lt;&gt;"",VLOOKUP('Comptage Décadaire'!A56,'Comptage Décadaire'!A:A,1,FALSE),"")</f>
        <v/>
      </c>
      <c r="B55" s="27" t="str">
        <f>IF('Comptage Décadaire'!B56&lt;&gt;"",VLOOKUP('Comptage Décadaire'!B56,'Comptage Décadaire'!B:B,1,FALSE),"")</f>
        <v/>
      </c>
      <c r="C55" s="28" t="str">
        <f>IF('Comptage Décadaire'!C56&lt;&gt;"",VLOOKUP('Comptage Décadaire'!C56,'Comptage Décadaire'!C:C,1,FALSE),"")</f>
        <v/>
      </c>
      <c r="D55" s="29" t="str">
        <f>IF('Comptage Décadaire'!D56&lt;&gt;"",VLOOKUP('Comptage Décadaire'!D56,Sites!$A:$B,2,FALSE),"")</f>
        <v/>
      </c>
      <c r="E55" s="29" t="str">
        <f>IF('Comptage Décadaire'!E56&lt;&gt;"",VLOOKUP('Comptage Décadaire'!E56,'Comptage Décadaire'!E:E,1,FALSE),"")</f>
        <v/>
      </c>
      <c r="F55" s="29" t="str">
        <f>IF('Comptage Décadaire'!F56&lt;&gt;"",VLOOKUP('Comptage Décadaire'!F56,Nomenclature!$B$2:$C$4,2,FALSE),"")</f>
        <v/>
      </c>
      <c r="G55" s="29" t="str">
        <f>IF('Comptage Décadaire'!G56&lt;&gt;"",VLOOKUP('Comptage Décadaire'!G56,'Comptage Décadaire'!G:G,1,FALSE),"")</f>
        <v/>
      </c>
      <c r="H55" s="29" t="str">
        <f>IF('Comptage Décadaire'!H56&lt;&gt;"",VLOOKUP('Comptage Décadaire'!H56,Nomenclature!$D$2:$E$7,2,FALSE),"")</f>
        <v/>
      </c>
      <c r="I55" s="30" t="str">
        <f>IF('Comptage Décadaire'!J56&lt;&gt;"",VLOOKUP('Comptage Décadaire'!J56,'Comptage Décadaire'!J:J,1,FALSE),"")</f>
        <v/>
      </c>
      <c r="J55" s="30" t="str">
        <f>IF('Comptage Décadaire'!K56&lt;&gt;"",VLOOKUP('Comptage Décadaire'!K56,'Comptage Décadaire'!K:K,1,FALSE),"")</f>
        <v/>
      </c>
      <c r="K55" s="30" t="str">
        <f>IF('Comptage Décadaire'!L56&lt;&gt;"",VLOOKUP('Comptage Décadaire'!L56,'Comptage Décadaire'!L:L,1,FALSE),"")</f>
        <v/>
      </c>
      <c r="L55" s="31" t="str">
        <f>IF('Comptage Décadaire'!M56&lt;&gt;"",VLOOKUP('Comptage Décadaire'!M56,'Comptage Décadaire'!M:M,1,FALSE),"")</f>
        <v/>
      </c>
      <c r="M55" s="33" t="str">
        <f>IF('Comptage Décadaire'!N56&lt;&gt;"",VLOOKUP('Comptage Décadaire'!N56,Utilisateurs!$D:$F,3,FALSE),"")</f>
        <v/>
      </c>
      <c r="N55" s="33" t="str">
        <f>IF('Comptage Décadaire'!O56&lt;&gt;"",VLOOKUP('Comptage Décadaire'!O56,Utilisateurs!$D:$F,3,FALSE),"")</f>
        <v/>
      </c>
      <c r="O55" s="33" t="str">
        <f>IF('Comptage Décadaire'!P56&lt;&gt;"",VLOOKUP('Comptage Décadaire'!P56,Utilisateurs!$D:$F,3,FALSE),"")</f>
        <v/>
      </c>
      <c r="P55" s="33" t="str">
        <f>IF('Comptage Décadaire'!Q56&lt;&gt;"",VLOOKUP('Comptage Décadaire'!Q56,Utilisateurs!$D:$F,3,FALSE),"")</f>
        <v/>
      </c>
      <c r="Q55" s="33" t="str">
        <f>IF('Comptage Décadaire'!R56&lt;&gt;"",VLOOKUP('Comptage Décadaire'!R56,Utilisateurs!$D:$F,3,FALSE),"")</f>
        <v/>
      </c>
      <c r="R55" s="30" t="str">
        <f>IF('Comptage Décadaire'!S56&lt;&gt;"",VLOOKUP('Comptage Décadaire'!S56,Nomenclature!$N:$O,2,FALSE),"")</f>
        <v/>
      </c>
      <c r="S55" s="30" t="str">
        <f>IF('Comptage Décadaire'!T56&lt;&gt;"",VLOOKUP('Comptage Décadaire'!T56,'Comptage Décadaire'!T:T,1,FALSE),"")</f>
        <v/>
      </c>
      <c r="T55" s="30" t="str">
        <f>IF('Comptage Décadaire'!U56&lt;&gt;"",VLOOKUP('Comptage Décadaire'!U56,'Comptage Décadaire'!U:U,1,FALSE),"")</f>
        <v/>
      </c>
      <c r="U55" s="30" t="str">
        <f>IF('Comptage Décadaire'!V56&lt;&gt;"",VLOOKUP('Comptage Décadaire'!V56,'Comptage Décadaire'!V:V,1,FALSE),"")</f>
        <v/>
      </c>
      <c r="V55" s="30" t="str">
        <f>IF('Comptage Décadaire'!W56&lt;&gt;"",VLOOKUP('Comptage Décadaire'!W56,'Comptage Décadaire'!W:W,1,FALSE),"")</f>
        <v/>
      </c>
      <c r="W55" s="30" t="str">
        <f>IF('Comptage Décadaire'!X56&lt;&gt;"",VLOOKUP('Comptage Décadaire'!X56,'Comptage Décadaire'!X:X,1,FALSE),"")</f>
        <v/>
      </c>
      <c r="X55" s="30" t="str">
        <f>IF('Comptage Décadaire'!Y56&lt;&gt;"",VLOOKUP('Comptage Décadaire'!Y56,'Comptage Décadaire'!Y:Y,1,FALSE),"")</f>
        <v/>
      </c>
      <c r="Y55" s="30" t="str">
        <f>IF('Comptage Décadaire'!Z56&lt;&gt;"",VLOOKUP('Comptage Décadaire'!Z56,Nomenclature!$F$2:$G$7,2,FALSE),"")</f>
        <v/>
      </c>
      <c r="Z55" s="30" t="str">
        <f>IF('Comptage Décadaire'!AA56&lt;&gt;"",VLOOKUP('Comptage Décadaire'!AA56,Nomenclature!$H$2:$I$31,2,FALSE),"")</f>
        <v/>
      </c>
      <c r="AA55" s="30" t="str">
        <f>IF('Comptage Décadaire'!AB56&lt;&gt;"",VLOOKUP('Comptage Décadaire'!AB56,Nomenclature!$J$2:$K$21,2,FALSE),"")</f>
        <v/>
      </c>
      <c r="AB55" s="30" t="str">
        <f>IF('Comptage Décadaire'!AC56&lt;&gt;"",VLOOKUP('Comptage Décadaire'!AC56,'Comptage Décadaire'!AC:AC,1,FALSE),"")</f>
        <v/>
      </c>
      <c r="AC55" s="32" t="str">
        <f>IF('Comptage Décadaire'!AD56&lt;&gt;"",VLOOKUP('Comptage Décadaire'!AD56,Nomenclature!$L$2:$M$8,2,FALSE),"")</f>
        <v/>
      </c>
      <c r="AD55" s="32" t="str">
        <f>IF('Comptage Décadaire'!AE56&lt;&gt;"",VLOOKUP('Comptage Décadaire'!AE56,Utilisateurs!$D$2:$F$81,3,FALSE),"")</f>
        <v/>
      </c>
      <c r="AE55" s="35" t="str">
        <f>IF('Comptage Décadaire'!AF56&lt;&gt;"",VLOOKUP('Comptage Décadaire'!AF56,'Comptage Décadaire'!AF:AF,1,FALSE),"")</f>
        <v/>
      </c>
      <c r="AF55" s="32" t="str">
        <f>IF('Comptage Décadaire'!AG56&lt;&gt;"",VLOOKUP('Comptage Décadaire'!AG56,'Comptage Décadaire'!AG:AG,1,FALSE),"")</f>
        <v/>
      </c>
    </row>
    <row r="56" spans="1:32" x14ac:dyDescent="0.25">
      <c r="A56" s="25" t="str">
        <f>IF('Comptage Décadaire'!A57&lt;&gt;"",VLOOKUP('Comptage Décadaire'!A57,'Comptage Décadaire'!A:A,1,FALSE),"")</f>
        <v/>
      </c>
      <c r="B56" s="27" t="str">
        <f>IF('Comptage Décadaire'!B57&lt;&gt;"",VLOOKUP('Comptage Décadaire'!B57,'Comptage Décadaire'!B:B,1,FALSE),"")</f>
        <v/>
      </c>
      <c r="C56" s="28" t="str">
        <f>IF('Comptage Décadaire'!C57&lt;&gt;"",VLOOKUP('Comptage Décadaire'!C57,'Comptage Décadaire'!C:C,1,FALSE),"")</f>
        <v/>
      </c>
      <c r="D56" s="29" t="str">
        <f>IF('Comptage Décadaire'!D57&lt;&gt;"",VLOOKUP('Comptage Décadaire'!D57,Sites!$A:$B,2,FALSE),"")</f>
        <v/>
      </c>
      <c r="E56" s="29" t="str">
        <f>IF('Comptage Décadaire'!E57&lt;&gt;"",VLOOKUP('Comptage Décadaire'!E57,'Comptage Décadaire'!E:E,1,FALSE),"")</f>
        <v/>
      </c>
      <c r="F56" s="29" t="str">
        <f>IF('Comptage Décadaire'!F57&lt;&gt;"",VLOOKUP('Comptage Décadaire'!F57,Nomenclature!$B$2:$C$4,2,FALSE),"")</f>
        <v/>
      </c>
      <c r="G56" s="29" t="str">
        <f>IF('Comptage Décadaire'!G57&lt;&gt;"",VLOOKUP('Comptage Décadaire'!G57,'Comptage Décadaire'!G:G,1,FALSE),"")</f>
        <v/>
      </c>
      <c r="H56" s="29" t="str">
        <f>IF('Comptage Décadaire'!H57&lt;&gt;"",VLOOKUP('Comptage Décadaire'!H57,Nomenclature!$D$2:$E$7,2,FALSE),"")</f>
        <v/>
      </c>
      <c r="I56" s="30" t="str">
        <f>IF('Comptage Décadaire'!J57&lt;&gt;"",VLOOKUP('Comptage Décadaire'!J57,'Comptage Décadaire'!J:J,1,FALSE),"")</f>
        <v/>
      </c>
      <c r="J56" s="30" t="str">
        <f>IF('Comptage Décadaire'!K57&lt;&gt;"",VLOOKUP('Comptage Décadaire'!K57,'Comptage Décadaire'!K:K,1,FALSE),"")</f>
        <v/>
      </c>
      <c r="K56" s="30" t="str">
        <f>IF('Comptage Décadaire'!L57&lt;&gt;"",VLOOKUP('Comptage Décadaire'!L57,'Comptage Décadaire'!L:L,1,FALSE),"")</f>
        <v/>
      </c>
      <c r="L56" s="31" t="str">
        <f>IF('Comptage Décadaire'!M57&lt;&gt;"",VLOOKUP('Comptage Décadaire'!M57,'Comptage Décadaire'!M:M,1,FALSE),"")</f>
        <v/>
      </c>
      <c r="M56" s="33" t="str">
        <f>IF('Comptage Décadaire'!N57&lt;&gt;"",VLOOKUP('Comptage Décadaire'!N57,Utilisateurs!$D:$F,3,FALSE),"")</f>
        <v/>
      </c>
      <c r="N56" s="33" t="str">
        <f>IF('Comptage Décadaire'!O57&lt;&gt;"",VLOOKUP('Comptage Décadaire'!O57,Utilisateurs!$D:$F,3,FALSE),"")</f>
        <v/>
      </c>
      <c r="O56" s="33" t="str">
        <f>IF('Comptage Décadaire'!P57&lt;&gt;"",VLOOKUP('Comptage Décadaire'!P57,Utilisateurs!$D:$F,3,FALSE),"")</f>
        <v/>
      </c>
      <c r="P56" s="33" t="str">
        <f>IF('Comptage Décadaire'!Q57&lt;&gt;"",VLOOKUP('Comptage Décadaire'!Q57,Utilisateurs!$D:$F,3,FALSE),"")</f>
        <v/>
      </c>
      <c r="Q56" s="33" t="str">
        <f>IF('Comptage Décadaire'!R57&lt;&gt;"",VLOOKUP('Comptage Décadaire'!R57,Utilisateurs!$D:$F,3,FALSE),"")</f>
        <v/>
      </c>
      <c r="R56" s="30" t="str">
        <f>IF('Comptage Décadaire'!S57&lt;&gt;"",VLOOKUP('Comptage Décadaire'!S57,Nomenclature!$N:$O,2,FALSE),"")</f>
        <v/>
      </c>
      <c r="S56" s="30" t="str">
        <f>IF('Comptage Décadaire'!T57&lt;&gt;"",VLOOKUP('Comptage Décadaire'!T57,'Comptage Décadaire'!T:T,1,FALSE),"")</f>
        <v/>
      </c>
      <c r="T56" s="30" t="str">
        <f>IF('Comptage Décadaire'!U57&lt;&gt;"",VLOOKUP('Comptage Décadaire'!U57,'Comptage Décadaire'!U:U,1,FALSE),"")</f>
        <v/>
      </c>
      <c r="U56" s="30" t="str">
        <f>IF('Comptage Décadaire'!V57&lt;&gt;"",VLOOKUP('Comptage Décadaire'!V57,'Comptage Décadaire'!V:V,1,FALSE),"")</f>
        <v/>
      </c>
      <c r="V56" s="30" t="str">
        <f>IF('Comptage Décadaire'!W57&lt;&gt;"",VLOOKUP('Comptage Décadaire'!W57,'Comptage Décadaire'!W:W,1,FALSE),"")</f>
        <v/>
      </c>
      <c r="W56" s="30" t="str">
        <f>IF('Comptage Décadaire'!X57&lt;&gt;"",VLOOKUP('Comptage Décadaire'!X57,'Comptage Décadaire'!X:X,1,FALSE),"")</f>
        <v/>
      </c>
      <c r="X56" s="30" t="str">
        <f>IF('Comptage Décadaire'!Y57&lt;&gt;"",VLOOKUP('Comptage Décadaire'!Y57,'Comptage Décadaire'!Y:Y,1,FALSE),"")</f>
        <v/>
      </c>
      <c r="Y56" s="30" t="str">
        <f>IF('Comptage Décadaire'!Z57&lt;&gt;"",VLOOKUP('Comptage Décadaire'!Z57,Nomenclature!$F$2:$G$7,2,FALSE),"")</f>
        <v/>
      </c>
      <c r="Z56" s="30" t="str">
        <f>IF('Comptage Décadaire'!AA57&lt;&gt;"",VLOOKUP('Comptage Décadaire'!AA57,Nomenclature!$H$2:$I$31,2,FALSE),"")</f>
        <v/>
      </c>
      <c r="AA56" s="30" t="str">
        <f>IF('Comptage Décadaire'!AB57&lt;&gt;"",VLOOKUP('Comptage Décadaire'!AB57,Nomenclature!$J$2:$K$21,2,FALSE),"")</f>
        <v/>
      </c>
      <c r="AB56" s="30" t="str">
        <f>IF('Comptage Décadaire'!AC57&lt;&gt;"",VLOOKUP('Comptage Décadaire'!AC57,'Comptage Décadaire'!AC:AC,1,FALSE),"")</f>
        <v/>
      </c>
      <c r="AC56" s="32" t="str">
        <f>IF('Comptage Décadaire'!AD57&lt;&gt;"",VLOOKUP('Comptage Décadaire'!AD57,Nomenclature!$L$2:$M$8,2,FALSE),"")</f>
        <v/>
      </c>
      <c r="AD56" s="32" t="str">
        <f>IF('Comptage Décadaire'!AE57&lt;&gt;"",VLOOKUP('Comptage Décadaire'!AE57,Utilisateurs!$D$2:$F$81,3,FALSE),"")</f>
        <v/>
      </c>
      <c r="AE56" s="35" t="str">
        <f>IF('Comptage Décadaire'!AF57&lt;&gt;"",VLOOKUP('Comptage Décadaire'!AF57,'Comptage Décadaire'!AF:AF,1,FALSE),"")</f>
        <v/>
      </c>
      <c r="AF56" s="32" t="str">
        <f>IF('Comptage Décadaire'!AG57&lt;&gt;"",VLOOKUP('Comptage Décadaire'!AG57,'Comptage Décadaire'!AG:AG,1,FALSE),"")</f>
        <v/>
      </c>
    </row>
    <row r="57" spans="1:32" x14ac:dyDescent="0.25">
      <c r="A57" s="25" t="str">
        <f>IF('Comptage Décadaire'!A58&lt;&gt;"",VLOOKUP('Comptage Décadaire'!A58,'Comptage Décadaire'!A:A,1,FALSE),"")</f>
        <v/>
      </c>
      <c r="B57" s="27" t="str">
        <f>IF('Comptage Décadaire'!B58&lt;&gt;"",VLOOKUP('Comptage Décadaire'!B58,'Comptage Décadaire'!B:B,1,FALSE),"")</f>
        <v/>
      </c>
      <c r="C57" s="28" t="str">
        <f>IF('Comptage Décadaire'!C58&lt;&gt;"",VLOOKUP('Comptage Décadaire'!C58,'Comptage Décadaire'!C:C,1,FALSE),"")</f>
        <v/>
      </c>
      <c r="D57" s="29" t="str">
        <f>IF('Comptage Décadaire'!D58&lt;&gt;"",VLOOKUP('Comptage Décadaire'!D58,Sites!$A:$B,2,FALSE),"")</f>
        <v/>
      </c>
      <c r="E57" s="29" t="str">
        <f>IF('Comptage Décadaire'!E58&lt;&gt;"",VLOOKUP('Comptage Décadaire'!E58,'Comptage Décadaire'!E:E,1,FALSE),"")</f>
        <v/>
      </c>
      <c r="F57" s="29" t="str">
        <f>IF('Comptage Décadaire'!F58&lt;&gt;"",VLOOKUP('Comptage Décadaire'!F58,Nomenclature!$B$2:$C$4,2,FALSE),"")</f>
        <v/>
      </c>
      <c r="G57" s="29" t="str">
        <f>IF('Comptage Décadaire'!G58&lt;&gt;"",VLOOKUP('Comptage Décadaire'!G58,'Comptage Décadaire'!G:G,1,FALSE),"")</f>
        <v/>
      </c>
      <c r="H57" s="29" t="str">
        <f>IF('Comptage Décadaire'!H58&lt;&gt;"",VLOOKUP('Comptage Décadaire'!H58,Nomenclature!$D$2:$E$7,2,FALSE),"")</f>
        <v/>
      </c>
      <c r="I57" s="30" t="str">
        <f>IF('Comptage Décadaire'!J58&lt;&gt;"",VLOOKUP('Comptage Décadaire'!J58,'Comptage Décadaire'!J:J,1,FALSE),"")</f>
        <v/>
      </c>
      <c r="J57" s="30" t="str">
        <f>IF('Comptage Décadaire'!K58&lt;&gt;"",VLOOKUP('Comptage Décadaire'!K58,'Comptage Décadaire'!K:K,1,FALSE),"")</f>
        <v/>
      </c>
      <c r="K57" s="30" t="str">
        <f>IF('Comptage Décadaire'!L58&lt;&gt;"",VLOOKUP('Comptage Décadaire'!L58,'Comptage Décadaire'!L:L,1,FALSE),"")</f>
        <v/>
      </c>
      <c r="L57" s="31" t="str">
        <f>IF('Comptage Décadaire'!M58&lt;&gt;"",VLOOKUP('Comptage Décadaire'!M58,'Comptage Décadaire'!M:M,1,FALSE),"")</f>
        <v/>
      </c>
      <c r="M57" s="33" t="str">
        <f>IF('Comptage Décadaire'!N58&lt;&gt;"",VLOOKUP('Comptage Décadaire'!N58,Utilisateurs!$D:$F,3,FALSE),"")</f>
        <v/>
      </c>
      <c r="N57" s="33" t="str">
        <f>IF('Comptage Décadaire'!O58&lt;&gt;"",VLOOKUP('Comptage Décadaire'!O58,Utilisateurs!$D:$F,3,FALSE),"")</f>
        <v/>
      </c>
      <c r="O57" s="33" t="str">
        <f>IF('Comptage Décadaire'!P58&lt;&gt;"",VLOOKUP('Comptage Décadaire'!P58,Utilisateurs!$D:$F,3,FALSE),"")</f>
        <v/>
      </c>
      <c r="P57" s="33" t="str">
        <f>IF('Comptage Décadaire'!Q58&lt;&gt;"",VLOOKUP('Comptage Décadaire'!Q58,Utilisateurs!$D:$F,3,FALSE),"")</f>
        <v/>
      </c>
      <c r="Q57" s="33" t="str">
        <f>IF('Comptage Décadaire'!R58&lt;&gt;"",VLOOKUP('Comptage Décadaire'!R58,Utilisateurs!$D:$F,3,FALSE),"")</f>
        <v/>
      </c>
      <c r="R57" s="30" t="str">
        <f>IF('Comptage Décadaire'!S58&lt;&gt;"",VLOOKUP('Comptage Décadaire'!S58,Nomenclature!$N:$O,2,FALSE),"")</f>
        <v/>
      </c>
      <c r="S57" s="30" t="str">
        <f>IF('Comptage Décadaire'!T58&lt;&gt;"",VLOOKUP('Comptage Décadaire'!T58,'Comptage Décadaire'!T:T,1,FALSE),"")</f>
        <v/>
      </c>
      <c r="T57" s="30" t="str">
        <f>IF('Comptage Décadaire'!U58&lt;&gt;"",VLOOKUP('Comptage Décadaire'!U58,'Comptage Décadaire'!U:U,1,FALSE),"")</f>
        <v/>
      </c>
      <c r="U57" s="30" t="str">
        <f>IF('Comptage Décadaire'!V58&lt;&gt;"",VLOOKUP('Comptage Décadaire'!V58,'Comptage Décadaire'!V:V,1,FALSE),"")</f>
        <v/>
      </c>
      <c r="V57" s="30" t="str">
        <f>IF('Comptage Décadaire'!W58&lt;&gt;"",VLOOKUP('Comptage Décadaire'!W58,'Comptage Décadaire'!W:W,1,FALSE),"")</f>
        <v/>
      </c>
      <c r="W57" s="30" t="str">
        <f>IF('Comptage Décadaire'!X58&lt;&gt;"",VLOOKUP('Comptage Décadaire'!X58,'Comptage Décadaire'!X:X,1,FALSE),"")</f>
        <v/>
      </c>
      <c r="X57" s="30" t="str">
        <f>IF('Comptage Décadaire'!Y58&lt;&gt;"",VLOOKUP('Comptage Décadaire'!Y58,'Comptage Décadaire'!Y:Y,1,FALSE),"")</f>
        <v/>
      </c>
      <c r="Y57" s="30" t="str">
        <f>IF('Comptage Décadaire'!Z58&lt;&gt;"",VLOOKUP('Comptage Décadaire'!Z58,Nomenclature!$F$2:$G$7,2,FALSE),"")</f>
        <v/>
      </c>
      <c r="Z57" s="30" t="str">
        <f>IF('Comptage Décadaire'!AA58&lt;&gt;"",VLOOKUP('Comptage Décadaire'!AA58,Nomenclature!$H$2:$I$31,2,FALSE),"")</f>
        <v/>
      </c>
      <c r="AA57" s="30" t="str">
        <f>IF('Comptage Décadaire'!AB58&lt;&gt;"",VLOOKUP('Comptage Décadaire'!AB58,Nomenclature!$J$2:$K$21,2,FALSE),"")</f>
        <v/>
      </c>
      <c r="AB57" s="30" t="str">
        <f>IF('Comptage Décadaire'!AC58&lt;&gt;"",VLOOKUP('Comptage Décadaire'!AC58,'Comptage Décadaire'!AC:AC,1,FALSE),"")</f>
        <v/>
      </c>
      <c r="AC57" s="32" t="str">
        <f>IF('Comptage Décadaire'!AD58&lt;&gt;"",VLOOKUP('Comptage Décadaire'!AD58,Nomenclature!$L$2:$M$8,2,FALSE),"")</f>
        <v/>
      </c>
      <c r="AD57" s="32" t="str">
        <f>IF('Comptage Décadaire'!AE58&lt;&gt;"",VLOOKUP('Comptage Décadaire'!AE58,Utilisateurs!$D$2:$F$81,3,FALSE),"")</f>
        <v/>
      </c>
      <c r="AE57" s="35" t="str">
        <f>IF('Comptage Décadaire'!AF58&lt;&gt;"",VLOOKUP('Comptage Décadaire'!AF58,'Comptage Décadaire'!AF:AF,1,FALSE),"")</f>
        <v/>
      </c>
      <c r="AF57" s="32" t="str">
        <f>IF('Comptage Décadaire'!AG58&lt;&gt;"",VLOOKUP('Comptage Décadaire'!AG58,'Comptage Décadaire'!AG:AG,1,FALSE),"")</f>
        <v/>
      </c>
    </row>
    <row r="58" spans="1:32" x14ac:dyDescent="0.25">
      <c r="A58" s="25" t="str">
        <f>IF('Comptage Décadaire'!A59&lt;&gt;"",VLOOKUP('Comptage Décadaire'!A59,'Comptage Décadaire'!A:A,1,FALSE),"")</f>
        <v/>
      </c>
      <c r="B58" s="27" t="str">
        <f>IF('Comptage Décadaire'!B59&lt;&gt;"",VLOOKUP('Comptage Décadaire'!B59,'Comptage Décadaire'!B:B,1,FALSE),"")</f>
        <v/>
      </c>
      <c r="C58" s="28" t="str">
        <f>IF('Comptage Décadaire'!C59&lt;&gt;"",VLOOKUP('Comptage Décadaire'!C59,'Comptage Décadaire'!C:C,1,FALSE),"")</f>
        <v/>
      </c>
      <c r="D58" s="29" t="str">
        <f>IF('Comptage Décadaire'!D59&lt;&gt;"",VLOOKUP('Comptage Décadaire'!D59,Sites!$A:$B,2,FALSE),"")</f>
        <v/>
      </c>
      <c r="E58" s="29" t="str">
        <f>IF('Comptage Décadaire'!E59&lt;&gt;"",VLOOKUP('Comptage Décadaire'!E59,'Comptage Décadaire'!E:E,1,FALSE),"")</f>
        <v/>
      </c>
      <c r="F58" s="29" t="str">
        <f>IF('Comptage Décadaire'!F59&lt;&gt;"",VLOOKUP('Comptage Décadaire'!F59,Nomenclature!$B$2:$C$4,2,FALSE),"")</f>
        <v/>
      </c>
      <c r="G58" s="29" t="str">
        <f>IF('Comptage Décadaire'!G59&lt;&gt;"",VLOOKUP('Comptage Décadaire'!G59,'Comptage Décadaire'!G:G,1,FALSE),"")</f>
        <v/>
      </c>
      <c r="H58" s="29" t="str">
        <f>IF('Comptage Décadaire'!H59&lt;&gt;"",VLOOKUP('Comptage Décadaire'!H59,Nomenclature!$D$2:$E$7,2,FALSE),"")</f>
        <v/>
      </c>
      <c r="I58" s="30" t="str">
        <f>IF('Comptage Décadaire'!J59&lt;&gt;"",VLOOKUP('Comptage Décadaire'!J59,'Comptage Décadaire'!J:J,1,FALSE),"")</f>
        <v/>
      </c>
      <c r="J58" s="30" t="str">
        <f>IF('Comptage Décadaire'!K59&lt;&gt;"",VLOOKUP('Comptage Décadaire'!K59,'Comptage Décadaire'!K:K,1,FALSE),"")</f>
        <v/>
      </c>
      <c r="K58" s="30" t="str">
        <f>IF('Comptage Décadaire'!L59&lt;&gt;"",VLOOKUP('Comptage Décadaire'!L59,'Comptage Décadaire'!L:L,1,FALSE),"")</f>
        <v/>
      </c>
      <c r="L58" s="31" t="str">
        <f>IF('Comptage Décadaire'!M59&lt;&gt;"",VLOOKUP('Comptage Décadaire'!M59,'Comptage Décadaire'!M:M,1,FALSE),"")</f>
        <v/>
      </c>
      <c r="M58" s="33" t="str">
        <f>IF('Comptage Décadaire'!N59&lt;&gt;"",VLOOKUP('Comptage Décadaire'!N59,Utilisateurs!$D:$F,3,FALSE),"")</f>
        <v/>
      </c>
      <c r="N58" s="33" t="str">
        <f>IF('Comptage Décadaire'!O59&lt;&gt;"",VLOOKUP('Comptage Décadaire'!O59,Utilisateurs!$D:$F,3,FALSE),"")</f>
        <v/>
      </c>
      <c r="O58" s="33" t="str">
        <f>IF('Comptage Décadaire'!P59&lt;&gt;"",VLOOKUP('Comptage Décadaire'!P59,Utilisateurs!$D:$F,3,FALSE),"")</f>
        <v/>
      </c>
      <c r="P58" s="33" t="str">
        <f>IF('Comptage Décadaire'!Q59&lt;&gt;"",VLOOKUP('Comptage Décadaire'!Q59,Utilisateurs!$D:$F,3,FALSE),"")</f>
        <v/>
      </c>
      <c r="Q58" s="33" t="str">
        <f>IF('Comptage Décadaire'!R59&lt;&gt;"",VLOOKUP('Comptage Décadaire'!R59,Utilisateurs!$D:$F,3,FALSE),"")</f>
        <v/>
      </c>
      <c r="R58" s="30" t="str">
        <f>IF('Comptage Décadaire'!S59&lt;&gt;"",VLOOKUP('Comptage Décadaire'!S59,Nomenclature!$N:$O,2,FALSE),"")</f>
        <v/>
      </c>
      <c r="S58" s="30" t="str">
        <f>IF('Comptage Décadaire'!T59&lt;&gt;"",VLOOKUP('Comptage Décadaire'!T59,'Comptage Décadaire'!T:T,1,FALSE),"")</f>
        <v/>
      </c>
      <c r="T58" s="30" t="str">
        <f>IF('Comptage Décadaire'!U59&lt;&gt;"",VLOOKUP('Comptage Décadaire'!U59,'Comptage Décadaire'!U:U,1,FALSE),"")</f>
        <v/>
      </c>
      <c r="U58" s="30" t="str">
        <f>IF('Comptage Décadaire'!V59&lt;&gt;"",VLOOKUP('Comptage Décadaire'!V59,'Comptage Décadaire'!V:V,1,FALSE),"")</f>
        <v/>
      </c>
      <c r="V58" s="30" t="str">
        <f>IF('Comptage Décadaire'!W59&lt;&gt;"",VLOOKUP('Comptage Décadaire'!W59,'Comptage Décadaire'!W:W,1,FALSE),"")</f>
        <v/>
      </c>
      <c r="W58" s="30" t="str">
        <f>IF('Comptage Décadaire'!X59&lt;&gt;"",VLOOKUP('Comptage Décadaire'!X59,'Comptage Décadaire'!X:X,1,FALSE),"")</f>
        <v/>
      </c>
      <c r="X58" s="30" t="str">
        <f>IF('Comptage Décadaire'!Y59&lt;&gt;"",VLOOKUP('Comptage Décadaire'!Y59,'Comptage Décadaire'!Y:Y,1,FALSE),"")</f>
        <v/>
      </c>
      <c r="Y58" s="30" t="str">
        <f>IF('Comptage Décadaire'!Z59&lt;&gt;"",VLOOKUP('Comptage Décadaire'!Z59,Nomenclature!$F$2:$G$7,2,FALSE),"")</f>
        <v/>
      </c>
      <c r="Z58" s="30" t="str">
        <f>IF('Comptage Décadaire'!AA59&lt;&gt;"",VLOOKUP('Comptage Décadaire'!AA59,Nomenclature!$H$2:$I$31,2,FALSE),"")</f>
        <v/>
      </c>
      <c r="AA58" s="30" t="str">
        <f>IF('Comptage Décadaire'!AB59&lt;&gt;"",VLOOKUP('Comptage Décadaire'!AB59,Nomenclature!$J$2:$K$21,2,FALSE),"")</f>
        <v/>
      </c>
      <c r="AB58" s="30" t="str">
        <f>IF('Comptage Décadaire'!AC59&lt;&gt;"",VLOOKUP('Comptage Décadaire'!AC59,'Comptage Décadaire'!AC:AC,1,FALSE),"")</f>
        <v/>
      </c>
      <c r="AC58" s="32" t="str">
        <f>IF('Comptage Décadaire'!AD59&lt;&gt;"",VLOOKUP('Comptage Décadaire'!AD59,Nomenclature!$L$2:$M$8,2,FALSE),"")</f>
        <v/>
      </c>
      <c r="AD58" s="32" t="str">
        <f>IF('Comptage Décadaire'!AE59&lt;&gt;"",VLOOKUP('Comptage Décadaire'!AE59,Utilisateurs!$D$2:$F$81,3,FALSE),"")</f>
        <v/>
      </c>
      <c r="AE58" s="35" t="str">
        <f>IF('Comptage Décadaire'!AF59&lt;&gt;"",VLOOKUP('Comptage Décadaire'!AF59,'Comptage Décadaire'!AF:AF,1,FALSE),"")</f>
        <v/>
      </c>
      <c r="AF58" s="32" t="str">
        <f>IF('Comptage Décadaire'!AG59&lt;&gt;"",VLOOKUP('Comptage Décadaire'!AG59,'Comptage Décadaire'!AG:AG,1,FALSE),"")</f>
        <v/>
      </c>
    </row>
    <row r="59" spans="1:32" x14ac:dyDescent="0.25">
      <c r="A59" s="25" t="str">
        <f>IF('Comptage Décadaire'!A60&lt;&gt;"",VLOOKUP('Comptage Décadaire'!A60,'Comptage Décadaire'!A:A,1,FALSE),"")</f>
        <v/>
      </c>
      <c r="B59" s="27" t="str">
        <f>IF('Comptage Décadaire'!B60&lt;&gt;"",VLOOKUP('Comptage Décadaire'!B60,'Comptage Décadaire'!B:B,1,FALSE),"")</f>
        <v/>
      </c>
      <c r="C59" s="28" t="str">
        <f>IF('Comptage Décadaire'!C60&lt;&gt;"",VLOOKUP('Comptage Décadaire'!C60,'Comptage Décadaire'!C:C,1,FALSE),"")</f>
        <v/>
      </c>
      <c r="D59" s="29" t="str">
        <f>IF('Comptage Décadaire'!D60&lt;&gt;"",VLOOKUP('Comptage Décadaire'!D60,Sites!$A:$B,2,FALSE),"")</f>
        <v/>
      </c>
      <c r="E59" s="29" t="str">
        <f>IF('Comptage Décadaire'!E60&lt;&gt;"",VLOOKUP('Comptage Décadaire'!E60,'Comptage Décadaire'!E:E,1,FALSE),"")</f>
        <v/>
      </c>
      <c r="F59" s="29" t="str">
        <f>IF('Comptage Décadaire'!F60&lt;&gt;"",VLOOKUP('Comptage Décadaire'!F60,Nomenclature!$B$2:$C$4,2,FALSE),"")</f>
        <v/>
      </c>
      <c r="G59" s="29" t="str">
        <f>IF('Comptage Décadaire'!G60&lt;&gt;"",VLOOKUP('Comptage Décadaire'!G60,'Comptage Décadaire'!G:G,1,FALSE),"")</f>
        <v/>
      </c>
      <c r="H59" s="29" t="str">
        <f>IF('Comptage Décadaire'!H60&lt;&gt;"",VLOOKUP('Comptage Décadaire'!H60,Nomenclature!$D$2:$E$7,2,FALSE),"")</f>
        <v/>
      </c>
      <c r="I59" s="30" t="str">
        <f>IF('Comptage Décadaire'!J60&lt;&gt;"",VLOOKUP('Comptage Décadaire'!J60,'Comptage Décadaire'!J:J,1,FALSE),"")</f>
        <v/>
      </c>
      <c r="J59" s="30" t="str">
        <f>IF('Comptage Décadaire'!K60&lt;&gt;"",VLOOKUP('Comptage Décadaire'!K60,'Comptage Décadaire'!K:K,1,FALSE),"")</f>
        <v/>
      </c>
      <c r="K59" s="30" t="str">
        <f>IF('Comptage Décadaire'!L60&lt;&gt;"",VLOOKUP('Comptage Décadaire'!L60,'Comptage Décadaire'!L:L,1,FALSE),"")</f>
        <v/>
      </c>
      <c r="L59" s="31" t="str">
        <f>IF('Comptage Décadaire'!M60&lt;&gt;"",VLOOKUP('Comptage Décadaire'!M60,'Comptage Décadaire'!M:M,1,FALSE),"")</f>
        <v/>
      </c>
      <c r="M59" s="33" t="str">
        <f>IF('Comptage Décadaire'!N60&lt;&gt;"",VLOOKUP('Comptage Décadaire'!N60,Utilisateurs!$D:$F,3,FALSE),"")</f>
        <v/>
      </c>
      <c r="N59" s="33" t="str">
        <f>IF('Comptage Décadaire'!O60&lt;&gt;"",VLOOKUP('Comptage Décadaire'!O60,Utilisateurs!$D:$F,3,FALSE),"")</f>
        <v/>
      </c>
      <c r="O59" s="33" t="str">
        <f>IF('Comptage Décadaire'!P60&lt;&gt;"",VLOOKUP('Comptage Décadaire'!P60,Utilisateurs!$D:$F,3,FALSE),"")</f>
        <v/>
      </c>
      <c r="P59" s="33" t="str">
        <f>IF('Comptage Décadaire'!Q60&lt;&gt;"",VLOOKUP('Comptage Décadaire'!Q60,Utilisateurs!$D:$F,3,FALSE),"")</f>
        <v/>
      </c>
      <c r="Q59" s="33" t="str">
        <f>IF('Comptage Décadaire'!R60&lt;&gt;"",VLOOKUP('Comptage Décadaire'!R60,Utilisateurs!$D:$F,3,FALSE),"")</f>
        <v/>
      </c>
      <c r="R59" s="30" t="str">
        <f>IF('Comptage Décadaire'!S60&lt;&gt;"",VLOOKUP('Comptage Décadaire'!S60,Nomenclature!$N:$O,2,FALSE),"")</f>
        <v/>
      </c>
      <c r="S59" s="30" t="str">
        <f>IF('Comptage Décadaire'!T60&lt;&gt;"",VLOOKUP('Comptage Décadaire'!T60,'Comptage Décadaire'!T:T,1,FALSE),"")</f>
        <v/>
      </c>
      <c r="T59" s="30" t="str">
        <f>IF('Comptage Décadaire'!U60&lt;&gt;"",VLOOKUP('Comptage Décadaire'!U60,'Comptage Décadaire'!U:U,1,FALSE),"")</f>
        <v/>
      </c>
      <c r="U59" s="30" t="str">
        <f>IF('Comptage Décadaire'!V60&lt;&gt;"",VLOOKUP('Comptage Décadaire'!V60,'Comptage Décadaire'!V:V,1,FALSE),"")</f>
        <v/>
      </c>
      <c r="V59" s="30" t="str">
        <f>IF('Comptage Décadaire'!W60&lt;&gt;"",VLOOKUP('Comptage Décadaire'!W60,'Comptage Décadaire'!W:W,1,FALSE),"")</f>
        <v/>
      </c>
      <c r="W59" s="30" t="str">
        <f>IF('Comptage Décadaire'!X60&lt;&gt;"",VLOOKUP('Comptage Décadaire'!X60,'Comptage Décadaire'!X:X,1,FALSE),"")</f>
        <v/>
      </c>
      <c r="X59" s="30" t="str">
        <f>IF('Comptage Décadaire'!Y60&lt;&gt;"",VLOOKUP('Comptage Décadaire'!Y60,'Comptage Décadaire'!Y:Y,1,FALSE),"")</f>
        <v/>
      </c>
      <c r="Y59" s="30" t="str">
        <f>IF('Comptage Décadaire'!Z60&lt;&gt;"",VLOOKUP('Comptage Décadaire'!Z60,Nomenclature!$F$2:$G$7,2,FALSE),"")</f>
        <v/>
      </c>
      <c r="Z59" s="30" t="str">
        <f>IF('Comptage Décadaire'!AA60&lt;&gt;"",VLOOKUP('Comptage Décadaire'!AA60,Nomenclature!$H$2:$I$31,2,FALSE),"")</f>
        <v/>
      </c>
      <c r="AA59" s="30" t="str">
        <f>IF('Comptage Décadaire'!AB60&lt;&gt;"",VLOOKUP('Comptage Décadaire'!AB60,Nomenclature!$J$2:$K$21,2,FALSE),"")</f>
        <v/>
      </c>
      <c r="AB59" s="30" t="str">
        <f>IF('Comptage Décadaire'!AC60&lt;&gt;"",VLOOKUP('Comptage Décadaire'!AC60,'Comptage Décadaire'!AC:AC,1,FALSE),"")</f>
        <v/>
      </c>
      <c r="AC59" s="32" t="str">
        <f>IF('Comptage Décadaire'!AD60&lt;&gt;"",VLOOKUP('Comptage Décadaire'!AD60,Nomenclature!$L$2:$M$8,2,FALSE),"")</f>
        <v/>
      </c>
      <c r="AD59" s="32" t="str">
        <f>IF('Comptage Décadaire'!AE60&lt;&gt;"",VLOOKUP('Comptage Décadaire'!AE60,Utilisateurs!$D$2:$F$81,3,FALSE),"")</f>
        <v/>
      </c>
      <c r="AE59" s="35" t="str">
        <f>IF('Comptage Décadaire'!AF60&lt;&gt;"",VLOOKUP('Comptage Décadaire'!AF60,'Comptage Décadaire'!AF:AF,1,FALSE),"")</f>
        <v/>
      </c>
      <c r="AF59" s="32" t="str">
        <f>IF('Comptage Décadaire'!AG60&lt;&gt;"",VLOOKUP('Comptage Décadaire'!AG60,'Comptage Décadaire'!AG:AG,1,FALSE),"")</f>
        <v/>
      </c>
    </row>
    <row r="60" spans="1:32" x14ac:dyDescent="0.25">
      <c r="A60" s="25" t="str">
        <f>IF('Comptage Décadaire'!A61&lt;&gt;"",VLOOKUP('Comptage Décadaire'!A61,'Comptage Décadaire'!A:A,1,FALSE),"")</f>
        <v/>
      </c>
      <c r="B60" s="27" t="str">
        <f>IF('Comptage Décadaire'!B61&lt;&gt;"",VLOOKUP('Comptage Décadaire'!B61,'Comptage Décadaire'!B:B,1,FALSE),"")</f>
        <v/>
      </c>
      <c r="C60" s="28" t="str">
        <f>IF('Comptage Décadaire'!C61&lt;&gt;"",VLOOKUP('Comptage Décadaire'!C61,'Comptage Décadaire'!C:C,1,FALSE),"")</f>
        <v/>
      </c>
      <c r="D60" s="29" t="str">
        <f>IF('Comptage Décadaire'!D61&lt;&gt;"",VLOOKUP('Comptage Décadaire'!D61,Sites!$A:$B,2,FALSE),"")</f>
        <v/>
      </c>
      <c r="E60" s="29" t="str">
        <f>IF('Comptage Décadaire'!E61&lt;&gt;"",VLOOKUP('Comptage Décadaire'!E61,'Comptage Décadaire'!E:E,1,FALSE),"")</f>
        <v/>
      </c>
      <c r="F60" s="29" t="str">
        <f>IF('Comptage Décadaire'!F61&lt;&gt;"",VLOOKUP('Comptage Décadaire'!F61,Nomenclature!$B$2:$C$4,2,FALSE),"")</f>
        <v/>
      </c>
      <c r="G60" s="29" t="str">
        <f>IF('Comptage Décadaire'!G61&lt;&gt;"",VLOOKUP('Comptage Décadaire'!G61,'Comptage Décadaire'!G:G,1,FALSE),"")</f>
        <v/>
      </c>
      <c r="H60" s="29" t="str">
        <f>IF('Comptage Décadaire'!H61&lt;&gt;"",VLOOKUP('Comptage Décadaire'!H61,Nomenclature!$D$2:$E$7,2,FALSE),"")</f>
        <v/>
      </c>
      <c r="I60" s="30" t="str">
        <f>IF('Comptage Décadaire'!J61&lt;&gt;"",VLOOKUP('Comptage Décadaire'!J61,'Comptage Décadaire'!J:J,1,FALSE),"")</f>
        <v/>
      </c>
      <c r="J60" s="30" t="str">
        <f>IF('Comptage Décadaire'!K61&lt;&gt;"",VLOOKUP('Comptage Décadaire'!K61,'Comptage Décadaire'!K:K,1,FALSE),"")</f>
        <v/>
      </c>
      <c r="K60" s="30" t="str">
        <f>IF('Comptage Décadaire'!L61&lt;&gt;"",VLOOKUP('Comptage Décadaire'!L61,'Comptage Décadaire'!L:L,1,FALSE),"")</f>
        <v/>
      </c>
      <c r="L60" s="31" t="str">
        <f>IF('Comptage Décadaire'!M61&lt;&gt;"",VLOOKUP('Comptage Décadaire'!M61,'Comptage Décadaire'!M:M,1,FALSE),"")</f>
        <v/>
      </c>
      <c r="M60" s="33" t="str">
        <f>IF('Comptage Décadaire'!N61&lt;&gt;"",VLOOKUP('Comptage Décadaire'!N61,Utilisateurs!$D:$F,3,FALSE),"")</f>
        <v/>
      </c>
      <c r="N60" s="33" t="str">
        <f>IF('Comptage Décadaire'!O61&lt;&gt;"",VLOOKUP('Comptage Décadaire'!O61,Utilisateurs!$D:$F,3,FALSE),"")</f>
        <v/>
      </c>
      <c r="O60" s="33" t="str">
        <f>IF('Comptage Décadaire'!P61&lt;&gt;"",VLOOKUP('Comptage Décadaire'!P61,Utilisateurs!$D:$F,3,FALSE),"")</f>
        <v/>
      </c>
      <c r="P60" s="33" t="str">
        <f>IF('Comptage Décadaire'!Q61&lt;&gt;"",VLOOKUP('Comptage Décadaire'!Q61,Utilisateurs!$D:$F,3,FALSE),"")</f>
        <v/>
      </c>
      <c r="Q60" s="33" t="str">
        <f>IF('Comptage Décadaire'!R61&lt;&gt;"",VLOOKUP('Comptage Décadaire'!R61,Utilisateurs!$D:$F,3,FALSE),"")</f>
        <v/>
      </c>
      <c r="R60" s="30" t="str">
        <f>IF('Comptage Décadaire'!S61&lt;&gt;"",VLOOKUP('Comptage Décadaire'!S61,Nomenclature!$N:$O,2,FALSE),"")</f>
        <v/>
      </c>
      <c r="S60" s="30" t="str">
        <f>IF('Comptage Décadaire'!T61&lt;&gt;"",VLOOKUP('Comptage Décadaire'!T61,'Comptage Décadaire'!T:T,1,FALSE),"")</f>
        <v/>
      </c>
      <c r="T60" s="30" t="str">
        <f>IF('Comptage Décadaire'!U61&lt;&gt;"",VLOOKUP('Comptage Décadaire'!U61,'Comptage Décadaire'!U:U,1,FALSE),"")</f>
        <v/>
      </c>
      <c r="U60" s="30" t="str">
        <f>IF('Comptage Décadaire'!V61&lt;&gt;"",VLOOKUP('Comptage Décadaire'!V61,'Comptage Décadaire'!V:V,1,FALSE),"")</f>
        <v/>
      </c>
      <c r="V60" s="30" t="str">
        <f>IF('Comptage Décadaire'!W61&lt;&gt;"",VLOOKUP('Comptage Décadaire'!W61,'Comptage Décadaire'!W:W,1,FALSE),"")</f>
        <v/>
      </c>
      <c r="W60" s="30" t="str">
        <f>IF('Comptage Décadaire'!X61&lt;&gt;"",VLOOKUP('Comptage Décadaire'!X61,'Comptage Décadaire'!X:X,1,FALSE),"")</f>
        <v/>
      </c>
      <c r="X60" s="30" t="str">
        <f>IF('Comptage Décadaire'!Y61&lt;&gt;"",VLOOKUP('Comptage Décadaire'!Y61,'Comptage Décadaire'!Y:Y,1,FALSE),"")</f>
        <v/>
      </c>
      <c r="Y60" s="30" t="str">
        <f>IF('Comptage Décadaire'!Z61&lt;&gt;"",VLOOKUP('Comptage Décadaire'!Z61,Nomenclature!$F$2:$G$7,2,FALSE),"")</f>
        <v/>
      </c>
      <c r="Z60" s="30" t="str">
        <f>IF('Comptage Décadaire'!AA61&lt;&gt;"",VLOOKUP('Comptage Décadaire'!AA61,Nomenclature!$H$2:$I$31,2,FALSE),"")</f>
        <v/>
      </c>
      <c r="AA60" s="30" t="str">
        <f>IF('Comptage Décadaire'!AB61&lt;&gt;"",VLOOKUP('Comptage Décadaire'!AB61,Nomenclature!$J$2:$K$21,2,FALSE),"")</f>
        <v/>
      </c>
      <c r="AB60" s="30" t="str">
        <f>IF('Comptage Décadaire'!AC61&lt;&gt;"",VLOOKUP('Comptage Décadaire'!AC61,'Comptage Décadaire'!AC:AC,1,FALSE),"")</f>
        <v/>
      </c>
      <c r="AC60" s="32" t="str">
        <f>IF('Comptage Décadaire'!AD61&lt;&gt;"",VLOOKUP('Comptage Décadaire'!AD61,Nomenclature!$L$2:$M$8,2,FALSE),"")</f>
        <v/>
      </c>
      <c r="AD60" s="32" t="str">
        <f>IF('Comptage Décadaire'!AE61&lt;&gt;"",VLOOKUP('Comptage Décadaire'!AE61,Utilisateurs!$D$2:$F$81,3,FALSE),"")</f>
        <v/>
      </c>
      <c r="AE60" s="35" t="str">
        <f>IF('Comptage Décadaire'!AF61&lt;&gt;"",VLOOKUP('Comptage Décadaire'!AF61,'Comptage Décadaire'!AF:AF,1,FALSE),"")</f>
        <v/>
      </c>
      <c r="AF60" s="32" t="str">
        <f>IF('Comptage Décadaire'!AG61&lt;&gt;"",VLOOKUP('Comptage Décadaire'!AG61,'Comptage Décadaire'!AG:AG,1,FALSE),"")</f>
        <v/>
      </c>
    </row>
    <row r="61" spans="1:32" x14ac:dyDescent="0.25">
      <c r="A61" s="25" t="str">
        <f>IF('Comptage Décadaire'!A62&lt;&gt;"",VLOOKUP('Comptage Décadaire'!A62,'Comptage Décadaire'!A:A,1,FALSE),"")</f>
        <v/>
      </c>
      <c r="B61" s="27" t="str">
        <f>IF('Comptage Décadaire'!B62&lt;&gt;"",VLOOKUP('Comptage Décadaire'!B62,'Comptage Décadaire'!B:B,1,FALSE),"")</f>
        <v/>
      </c>
      <c r="C61" s="28" t="str">
        <f>IF('Comptage Décadaire'!C62&lt;&gt;"",VLOOKUP('Comptage Décadaire'!C62,'Comptage Décadaire'!C:C,1,FALSE),"")</f>
        <v/>
      </c>
      <c r="D61" s="29" t="str">
        <f>IF('Comptage Décadaire'!D62&lt;&gt;"",VLOOKUP('Comptage Décadaire'!D62,Sites!$A:$B,2,FALSE),"")</f>
        <v/>
      </c>
      <c r="E61" s="29" t="str">
        <f>IF('Comptage Décadaire'!E62&lt;&gt;"",VLOOKUP('Comptage Décadaire'!E62,'Comptage Décadaire'!E:E,1,FALSE),"")</f>
        <v/>
      </c>
      <c r="F61" s="29" t="str">
        <f>IF('Comptage Décadaire'!F62&lt;&gt;"",VLOOKUP('Comptage Décadaire'!F62,Nomenclature!$B$2:$C$4,2,FALSE),"")</f>
        <v/>
      </c>
      <c r="G61" s="29" t="str">
        <f>IF('Comptage Décadaire'!G62&lt;&gt;"",VLOOKUP('Comptage Décadaire'!G62,'Comptage Décadaire'!G:G,1,FALSE),"")</f>
        <v/>
      </c>
      <c r="H61" s="29" t="str">
        <f>IF('Comptage Décadaire'!H62&lt;&gt;"",VLOOKUP('Comptage Décadaire'!H62,Nomenclature!$D$2:$E$7,2,FALSE),"")</f>
        <v/>
      </c>
      <c r="I61" s="30" t="str">
        <f>IF('Comptage Décadaire'!J62&lt;&gt;"",VLOOKUP('Comptage Décadaire'!J62,'Comptage Décadaire'!J:J,1,FALSE),"")</f>
        <v/>
      </c>
      <c r="J61" s="30" t="str">
        <f>IF('Comptage Décadaire'!K62&lt;&gt;"",VLOOKUP('Comptage Décadaire'!K62,'Comptage Décadaire'!K:K,1,FALSE),"")</f>
        <v/>
      </c>
      <c r="K61" s="30" t="str">
        <f>IF('Comptage Décadaire'!L62&lt;&gt;"",VLOOKUP('Comptage Décadaire'!L62,'Comptage Décadaire'!L:L,1,FALSE),"")</f>
        <v/>
      </c>
      <c r="L61" s="31" t="str">
        <f>IF('Comptage Décadaire'!M62&lt;&gt;"",VLOOKUP('Comptage Décadaire'!M62,'Comptage Décadaire'!M:M,1,FALSE),"")</f>
        <v/>
      </c>
      <c r="M61" s="33" t="str">
        <f>IF('Comptage Décadaire'!N62&lt;&gt;"",VLOOKUP('Comptage Décadaire'!N62,Utilisateurs!$D:$F,3,FALSE),"")</f>
        <v/>
      </c>
      <c r="N61" s="33" t="str">
        <f>IF('Comptage Décadaire'!O62&lt;&gt;"",VLOOKUP('Comptage Décadaire'!O62,Utilisateurs!$D:$F,3,FALSE),"")</f>
        <v/>
      </c>
      <c r="O61" s="33" t="str">
        <f>IF('Comptage Décadaire'!P62&lt;&gt;"",VLOOKUP('Comptage Décadaire'!P62,Utilisateurs!$D:$F,3,FALSE),"")</f>
        <v/>
      </c>
      <c r="P61" s="33" t="str">
        <f>IF('Comptage Décadaire'!Q62&lt;&gt;"",VLOOKUP('Comptage Décadaire'!Q62,Utilisateurs!$D:$F,3,FALSE),"")</f>
        <v/>
      </c>
      <c r="Q61" s="33" t="str">
        <f>IF('Comptage Décadaire'!R62&lt;&gt;"",VLOOKUP('Comptage Décadaire'!R62,Utilisateurs!$D:$F,3,FALSE),"")</f>
        <v/>
      </c>
      <c r="R61" s="30" t="str">
        <f>IF('Comptage Décadaire'!S62&lt;&gt;"",VLOOKUP('Comptage Décadaire'!S62,Nomenclature!$N:$O,2,FALSE),"")</f>
        <v/>
      </c>
      <c r="S61" s="30" t="str">
        <f>IF('Comptage Décadaire'!T62&lt;&gt;"",VLOOKUP('Comptage Décadaire'!T62,'Comptage Décadaire'!T:T,1,FALSE),"")</f>
        <v/>
      </c>
      <c r="T61" s="30" t="str">
        <f>IF('Comptage Décadaire'!U62&lt;&gt;"",VLOOKUP('Comptage Décadaire'!U62,'Comptage Décadaire'!U:U,1,FALSE),"")</f>
        <v/>
      </c>
      <c r="U61" s="30" t="str">
        <f>IF('Comptage Décadaire'!V62&lt;&gt;"",VLOOKUP('Comptage Décadaire'!V62,'Comptage Décadaire'!V:V,1,FALSE),"")</f>
        <v/>
      </c>
      <c r="V61" s="30" t="str">
        <f>IF('Comptage Décadaire'!W62&lt;&gt;"",VLOOKUP('Comptage Décadaire'!W62,'Comptage Décadaire'!W:W,1,FALSE),"")</f>
        <v/>
      </c>
      <c r="W61" s="30" t="str">
        <f>IF('Comptage Décadaire'!X62&lt;&gt;"",VLOOKUP('Comptage Décadaire'!X62,'Comptage Décadaire'!X:X,1,FALSE),"")</f>
        <v/>
      </c>
      <c r="X61" s="30" t="str">
        <f>IF('Comptage Décadaire'!Y62&lt;&gt;"",VLOOKUP('Comptage Décadaire'!Y62,'Comptage Décadaire'!Y:Y,1,FALSE),"")</f>
        <v/>
      </c>
      <c r="Y61" s="30" t="str">
        <f>IF('Comptage Décadaire'!Z62&lt;&gt;"",VLOOKUP('Comptage Décadaire'!Z62,Nomenclature!$F$2:$G$7,2,FALSE),"")</f>
        <v/>
      </c>
      <c r="Z61" s="30" t="str">
        <f>IF('Comptage Décadaire'!AA62&lt;&gt;"",VLOOKUP('Comptage Décadaire'!AA62,Nomenclature!$H$2:$I$31,2,FALSE),"")</f>
        <v/>
      </c>
      <c r="AA61" s="30" t="str">
        <f>IF('Comptage Décadaire'!AB62&lt;&gt;"",VLOOKUP('Comptage Décadaire'!AB62,Nomenclature!$J$2:$K$21,2,FALSE),"")</f>
        <v/>
      </c>
      <c r="AB61" s="30" t="str">
        <f>IF('Comptage Décadaire'!AC62&lt;&gt;"",VLOOKUP('Comptage Décadaire'!AC62,'Comptage Décadaire'!AC:AC,1,FALSE),"")</f>
        <v/>
      </c>
      <c r="AC61" s="32" t="str">
        <f>IF('Comptage Décadaire'!AD62&lt;&gt;"",VLOOKUP('Comptage Décadaire'!AD62,Nomenclature!$L$2:$M$8,2,FALSE),"")</f>
        <v/>
      </c>
      <c r="AD61" s="32" t="str">
        <f>IF('Comptage Décadaire'!AE62&lt;&gt;"",VLOOKUP('Comptage Décadaire'!AE62,Utilisateurs!$D$2:$F$81,3,FALSE),"")</f>
        <v/>
      </c>
      <c r="AE61" s="35" t="str">
        <f>IF('Comptage Décadaire'!AF62&lt;&gt;"",VLOOKUP('Comptage Décadaire'!AF62,'Comptage Décadaire'!AF:AF,1,FALSE),"")</f>
        <v/>
      </c>
      <c r="AF61" s="32" t="str">
        <f>IF('Comptage Décadaire'!AG62&lt;&gt;"",VLOOKUP('Comptage Décadaire'!AG62,'Comptage Décadaire'!AG:AG,1,FALSE),"")</f>
        <v/>
      </c>
    </row>
    <row r="62" spans="1:32" x14ac:dyDescent="0.25">
      <c r="A62" s="25" t="str">
        <f>IF('Comptage Décadaire'!A63&lt;&gt;"",VLOOKUP('Comptage Décadaire'!A63,'Comptage Décadaire'!A:A,1,FALSE),"")</f>
        <v/>
      </c>
      <c r="B62" s="27" t="str">
        <f>IF('Comptage Décadaire'!B63&lt;&gt;"",VLOOKUP('Comptage Décadaire'!B63,'Comptage Décadaire'!B:B,1,FALSE),"")</f>
        <v/>
      </c>
      <c r="C62" s="28" t="str">
        <f>IF('Comptage Décadaire'!C63&lt;&gt;"",VLOOKUP('Comptage Décadaire'!C63,'Comptage Décadaire'!C:C,1,FALSE),"")</f>
        <v/>
      </c>
      <c r="D62" s="29" t="str">
        <f>IF('Comptage Décadaire'!D63&lt;&gt;"",VLOOKUP('Comptage Décadaire'!D63,Sites!$A:$B,2,FALSE),"")</f>
        <v/>
      </c>
      <c r="E62" s="29" t="str">
        <f>IF('Comptage Décadaire'!E63&lt;&gt;"",VLOOKUP('Comptage Décadaire'!E63,'Comptage Décadaire'!E:E,1,FALSE),"")</f>
        <v/>
      </c>
      <c r="F62" s="29" t="str">
        <f>IF('Comptage Décadaire'!F63&lt;&gt;"",VLOOKUP('Comptage Décadaire'!F63,Nomenclature!$B$2:$C$4,2,FALSE),"")</f>
        <v/>
      </c>
      <c r="G62" s="29" t="str">
        <f>IF('Comptage Décadaire'!G63&lt;&gt;"",VLOOKUP('Comptage Décadaire'!G63,'Comptage Décadaire'!G:G,1,FALSE),"")</f>
        <v/>
      </c>
      <c r="H62" s="29" t="str">
        <f>IF('Comptage Décadaire'!H63&lt;&gt;"",VLOOKUP('Comptage Décadaire'!H63,Nomenclature!$D$2:$E$7,2,FALSE),"")</f>
        <v/>
      </c>
      <c r="I62" s="30" t="str">
        <f>IF('Comptage Décadaire'!J63&lt;&gt;"",VLOOKUP('Comptage Décadaire'!J63,'Comptage Décadaire'!J:J,1,FALSE),"")</f>
        <v/>
      </c>
      <c r="J62" s="30" t="str">
        <f>IF('Comptage Décadaire'!K63&lt;&gt;"",VLOOKUP('Comptage Décadaire'!K63,'Comptage Décadaire'!K:K,1,FALSE),"")</f>
        <v/>
      </c>
      <c r="K62" s="30" t="str">
        <f>IF('Comptage Décadaire'!L63&lt;&gt;"",VLOOKUP('Comptage Décadaire'!L63,'Comptage Décadaire'!L:L,1,FALSE),"")</f>
        <v/>
      </c>
      <c r="L62" s="31" t="str">
        <f>IF('Comptage Décadaire'!M63&lt;&gt;"",VLOOKUP('Comptage Décadaire'!M63,'Comptage Décadaire'!M:M,1,FALSE),"")</f>
        <v/>
      </c>
      <c r="M62" s="33" t="str">
        <f>IF('Comptage Décadaire'!N63&lt;&gt;"",VLOOKUP('Comptage Décadaire'!N63,Utilisateurs!$D:$F,3,FALSE),"")</f>
        <v/>
      </c>
      <c r="N62" s="33" t="str">
        <f>IF('Comptage Décadaire'!O63&lt;&gt;"",VLOOKUP('Comptage Décadaire'!O63,Utilisateurs!$D:$F,3,FALSE),"")</f>
        <v/>
      </c>
      <c r="O62" s="33" t="str">
        <f>IF('Comptage Décadaire'!P63&lt;&gt;"",VLOOKUP('Comptage Décadaire'!P63,Utilisateurs!$D:$F,3,FALSE),"")</f>
        <v/>
      </c>
      <c r="P62" s="33" t="str">
        <f>IF('Comptage Décadaire'!Q63&lt;&gt;"",VLOOKUP('Comptage Décadaire'!Q63,Utilisateurs!$D:$F,3,FALSE),"")</f>
        <v/>
      </c>
      <c r="Q62" s="33" t="str">
        <f>IF('Comptage Décadaire'!R63&lt;&gt;"",VLOOKUP('Comptage Décadaire'!R63,Utilisateurs!$D:$F,3,FALSE),"")</f>
        <v/>
      </c>
      <c r="R62" s="30" t="str">
        <f>IF('Comptage Décadaire'!S63&lt;&gt;"",VLOOKUP('Comptage Décadaire'!S63,Nomenclature!$N:$O,2,FALSE),"")</f>
        <v/>
      </c>
      <c r="S62" s="30" t="str">
        <f>IF('Comptage Décadaire'!T63&lt;&gt;"",VLOOKUP('Comptage Décadaire'!T63,'Comptage Décadaire'!T:T,1,FALSE),"")</f>
        <v/>
      </c>
      <c r="T62" s="30" t="str">
        <f>IF('Comptage Décadaire'!U63&lt;&gt;"",VLOOKUP('Comptage Décadaire'!U63,'Comptage Décadaire'!U:U,1,FALSE),"")</f>
        <v/>
      </c>
      <c r="U62" s="30" t="str">
        <f>IF('Comptage Décadaire'!V63&lt;&gt;"",VLOOKUP('Comptage Décadaire'!V63,'Comptage Décadaire'!V:V,1,FALSE),"")</f>
        <v/>
      </c>
      <c r="V62" s="30" t="str">
        <f>IF('Comptage Décadaire'!W63&lt;&gt;"",VLOOKUP('Comptage Décadaire'!W63,'Comptage Décadaire'!W:W,1,FALSE),"")</f>
        <v/>
      </c>
      <c r="W62" s="30" t="str">
        <f>IF('Comptage Décadaire'!X63&lt;&gt;"",VLOOKUP('Comptage Décadaire'!X63,'Comptage Décadaire'!X:X,1,FALSE),"")</f>
        <v/>
      </c>
      <c r="X62" s="30" t="str">
        <f>IF('Comptage Décadaire'!Y63&lt;&gt;"",VLOOKUP('Comptage Décadaire'!Y63,'Comptage Décadaire'!Y:Y,1,FALSE),"")</f>
        <v/>
      </c>
      <c r="Y62" s="30" t="str">
        <f>IF('Comptage Décadaire'!Z63&lt;&gt;"",VLOOKUP('Comptage Décadaire'!Z63,Nomenclature!$F$2:$G$7,2,FALSE),"")</f>
        <v/>
      </c>
      <c r="Z62" s="30" t="str">
        <f>IF('Comptage Décadaire'!AA63&lt;&gt;"",VLOOKUP('Comptage Décadaire'!AA63,Nomenclature!$H$2:$I$31,2,FALSE),"")</f>
        <v/>
      </c>
      <c r="AA62" s="30" t="str">
        <f>IF('Comptage Décadaire'!AB63&lt;&gt;"",VLOOKUP('Comptage Décadaire'!AB63,Nomenclature!$J$2:$K$21,2,FALSE),"")</f>
        <v/>
      </c>
      <c r="AB62" s="30" t="str">
        <f>IF('Comptage Décadaire'!AC63&lt;&gt;"",VLOOKUP('Comptage Décadaire'!AC63,'Comptage Décadaire'!AC:AC,1,FALSE),"")</f>
        <v/>
      </c>
      <c r="AC62" s="32" t="str">
        <f>IF('Comptage Décadaire'!AD63&lt;&gt;"",VLOOKUP('Comptage Décadaire'!AD63,Nomenclature!$L$2:$M$8,2,FALSE),"")</f>
        <v/>
      </c>
      <c r="AD62" s="32" t="str">
        <f>IF('Comptage Décadaire'!AE63&lt;&gt;"",VLOOKUP('Comptage Décadaire'!AE63,Utilisateurs!$D$2:$F$81,3,FALSE),"")</f>
        <v/>
      </c>
      <c r="AE62" s="35" t="str">
        <f>IF('Comptage Décadaire'!AF63&lt;&gt;"",VLOOKUP('Comptage Décadaire'!AF63,'Comptage Décadaire'!AF:AF,1,FALSE),"")</f>
        <v/>
      </c>
      <c r="AF62" s="32" t="str">
        <f>IF('Comptage Décadaire'!AG63&lt;&gt;"",VLOOKUP('Comptage Décadaire'!AG63,'Comptage Décadaire'!AG:AG,1,FALSE),"")</f>
        <v/>
      </c>
    </row>
    <row r="63" spans="1:32" x14ac:dyDescent="0.25">
      <c r="A63" s="25" t="str">
        <f>IF('Comptage Décadaire'!A64&lt;&gt;"",VLOOKUP('Comptage Décadaire'!A64,'Comptage Décadaire'!A:A,1,FALSE),"")</f>
        <v/>
      </c>
      <c r="B63" s="27" t="str">
        <f>IF('Comptage Décadaire'!B64&lt;&gt;"",VLOOKUP('Comptage Décadaire'!B64,'Comptage Décadaire'!B:B,1,FALSE),"")</f>
        <v/>
      </c>
      <c r="C63" s="28" t="str">
        <f>IF('Comptage Décadaire'!C64&lt;&gt;"",VLOOKUP('Comptage Décadaire'!C64,'Comptage Décadaire'!C:C,1,FALSE),"")</f>
        <v/>
      </c>
      <c r="D63" s="29" t="str">
        <f>IF('Comptage Décadaire'!D64&lt;&gt;"",VLOOKUP('Comptage Décadaire'!D64,Sites!$A:$B,2,FALSE),"")</f>
        <v/>
      </c>
      <c r="E63" s="29" t="str">
        <f>IF('Comptage Décadaire'!E64&lt;&gt;"",VLOOKUP('Comptage Décadaire'!E64,'Comptage Décadaire'!E:E,1,FALSE),"")</f>
        <v/>
      </c>
      <c r="F63" s="29" t="str">
        <f>IF('Comptage Décadaire'!F64&lt;&gt;"",VLOOKUP('Comptage Décadaire'!F64,Nomenclature!$B$2:$C$4,2,FALSE),"")</f>
        <v/>
      </c>
      <c r="G63" s="29" t="str">
        <f>IF('Comptage Décadaire'!G64&lt;&gt;"",VLOOKUP('Comptage Décadaire'!G64,'Comptage Décadaire'!G:G,1,FALSE),"")</f>
        <v/>
      </c>
      <c r="H63" s="29" t="str">
        <f>IF('Comptage Décadaire'!H64&lt;&gt;"",VLOOKUP('Comptage Décadaire'!H64,Nomenclature!$D$2:$E$7,2,FALSE),"")</f>
        <v/>
      </c>
      <c r="I63" s="30" t="str">
        <f>IF('Comptage Décadaire'!J64&lt;&gt;"",VLOOKUP('Comptage Décadaire'!J64,'Comptage Décadaire'!J:J,1,FALSE),"")</f>
        <v/>
      </c>
      <c r="J63" s="30" t="str">
        <f>IF('Comptage Décadaire'!K64&lt;&gt;"",VLOOKUP('Comptage Décadaire'!K64,'Comptage Décadaire'!K:K,1,FALSE),"")</f>
        <v/>
      </c>
      <c r="K63" s="30" t="str">
        <f>IF('Comptage Décadaire'!L64&lt;&gt;"",VLOOKUP('Comptage Décadaire'!L64,'Comptage Décadaire'!L:L,1,FALSE),"")</f>
        <v/>
      </c>
      <c r="L63" s="31" t="str">
        <f>IF('Comptage Décadaire'!M64&lt;&gt;"",VLOOKUP('Comptage Décadaire'!M64,'Comptage Décadaire'!M:M,1,FALSE),"")</f>
        <v/>
      </c>
      <c r="M63" s="33" t="str">
        <f>IF('Comptage Décadaire'!N64&lt;&gt;"",VLOOKUP('Comptage Décadaire'!N64,Utilisateurs!$D:$F,3,FALSE),"")</f>
        <v/>
      </c>
      <c r="N63" s="33" t="str">
        <f>IF('Comptage Décadaire'!O64&lt;&gt;"",VLOOKUP('Comptage Décadaire'!O64,Utilisateurs!$D:$F,3,FALSE),"")</f>
        <v/>
      </c>
      <c r="O63" s="33" t="str">
        <f>IF('Comptage Décadaire'!P64&lt;&gt;"",VLOOKUP('Comptage Décadaire'!P64,Utilisateurs!$D:$F,3,FALSE),"")</f>
        <v/>
      </c>
      <c r="P63" s="33" t="str">
        <f>IF('Comptage Décadaire'!Q64&lt;&gt;"",VLOOKUP('Comptage Décadaire'!Q64,Utilisateurs!$D:$F,3,FALSE),"")</f>
        <v/>
      </c>
      <c r="Q63" s="33" t="str">
        <f>IF('Comptage Décadaire'!R64&lt;&gt;"",VLOOKUP('Comptage Décadaire'!R64,Utilisateurs!$D:$F,3,FALSE),"")</f>
        <v/>
      </c>
      <c r="R63" s="30" t="str">
        <f>IF('Comptage Décadaire'!S64&lt;&gt;"",VLOOKUP('Comptage Décadaire'!S64,Nomenclature!$N:$O,2,FALSE),"")</f>
        <v/>
      </c>
      <c r="S63" s="30" t="str">
        <f>IF('Comptage Décadaire'!T64&lt;&gt;"",VLOOKUP('Comptage Décadaire'!T64,'Comptage Décadaire'!T:T,1,FALSE),"")</f>
        <v/>
      </c>
      <c r="T63" s="30" t="str">
        <f>IF('Comptage Décadaire'!U64&lt;&gt;"",VLOOKUP('Comptage Décadaire'!U64,'Comptage Décadaire'!U:U,1,FALSE),"")</f>
        <v/>
      </c>
      <c r="U63" s="30" t="str">
        <f>IF('Comptage Décadaire'!V64&lt;&gt;"",VLOOKUP('Comptage Décadaire'!V64,'Comptage Décadaire'!V:V,1,FALSE),"")</f>
        <v/>
      </c>
      <c r="V63" s="30" t="str">
        <f>IF('Comptage Décadaire'!W64&lt;&gt;"",VLOOKUP('Comptage Décadaire'!W64,'Comptage Décadaire'!W:W,1,FALSE),"")</f>
        <v/>
      </c>
      <c r="W63" s="30" t="str">
        <f>IF('Comptage Décadaire'!X64&lt;&gt;"",VLOOKUP('Comptage Décadaire'!X64,'Comptage Décadaire'!X:X,1,FALSE),"")</f>
        <v/>
      </c>
      <c r="X63" s="30" t="str">
        <f>IF('Comptage Décadaire'!Y64&lt;&gt;"",VLOOKUP('Comptage Décadaire'!Y64,'Comptage Décadaire'!Y:Y,1,FALSE),"")</f>
        <v/>
      </c>
      <c r="Y63" s="30" t="str">
        <f>IF('Comptage Décadaire'!Z64&lt;&gt;"",VLOOKUP('Comptage Décadaire'!Z64,Nomenclature!$F$2:$G$7,2,FALSE),"")</f>
        <v/>
      </c>
      <c r="Z63" s="30" t="str">
        <f>IF('Comptage Décadaire'!AA64&lt;&gt;"",VLOOKUP('Comptage Décadaire'!AA64,Nomenclature!$H$2:$I$31,2,FALSE),"")</f>
        <v/>
      </c>
      <c r="AA63" s="30" t="str">
        <f>IF('Comptage Décadaire'!AB64&lt;&gt;"",VLOOKUP('Comptage Décadaire'!AB64,Nomenclature!$J$2:$K$21,2,FALSE),"")</f>
        <v/>
      </c>
      <c r="AB63" s="30" t="str">
        <f>IF('Comptage Décadaire'!AC64&lt;&gt;"",VLOOKUP('Comptage Décadaire'!AC64,'Comptage Décadaire'!AC:AC,1,FALSE),"")</f>
        <v/>
      </c>
      <c r="AC63" s="32" t="str">
        <f>IF('Comptage Décadaire'!AD64&lt;&gt;"",VLOOKUP('Comptage Décadaire'!AD64,Nomenclature!$L$2:$M$8,2,FALSE),"")</f>
        <v/>
      </c>
      <c r="AD63" s="32" t="str">
        <f>IF('Comptage Décadaire'!AE64&lt;&gt;"",VLOOKUP('Comptage Décadaire'!AE64,Utilisateurs!$D$2:$F$81,3,FALSE),"")</f>
        <v/>
      </c>
      <c r="AE63" s="35" t="str">
        <f>IF('Comptage Décadaire'!AF64&lt;&gt;"",VLOOKUP('Comptage Décadaire'!AF64,'Comptage Décadaire'!AF:AF,1,FALSE),"")</f>
        <v/>
      </c>
      <c r="AF63" s="32" t="str">
        <f>IF('Comptage Décadaire'!AG64&lt;&gt;"",VLOOKUP('Comptage Décadaire'!AG64,'Comptage Décadaire'!AG:AG,1,FALSE),"")</f>
        <v/>
      </c>
    </row>
    <row r="64" spans="1:32" x14ac:dyDescent="0.25">
      <c r="A64" s="25" t="str">
        <f>IF('Comptage Décadaire'!A65&lt;&gt;"",VLOOKUP('Comptage Décadaire'!A65,'Comptage Décadaire'!A:A,1,FALSE),"")</f>
        <v/>
      </c>
      <c r="B64" s="27" t="str">
        <f>IF('Comptage Décadaire'!B65&lt;&gt;"",VLOOKUP('Comptage Décadaire'!B65,'Comptage Décadaire'!B:B,1,FALSE),"")</f>
        <v/>
      </c>
      <c r="C64" s="28" t="str">
        <f>IF('Comptage Décadaire'!C65&lt;&gt;"",VLOOKUP('Comptage Décadaire'!C65,'Comptage Décadaire'!C:C,1,FALSE),"")</f>
        <v/>
      </c>
      <c r="D64" s="29" t="str">
        <f>IF('Comptage Décadaire'!D65&lt;&gt;"",VLOOKUP('Comptage Décadaire'!D65,Sites!$A:$B,2,FALSE),"")</f>
        <v/>
      </c>
      <c r="E64" s="29" t="str">
        <f>IF('Comptage Décadaire'!E65&lt;&gt;"",VLOOKUP('Comptage Décadaire'!E65,'Comptage Décadaire'!E:E,1,FALSE),"")</f>
        <v/>
      </c>
      <c r="F64" s="29" t="str">
        <f>IF('Comptage Décadaire'!F65&lt;&gt;"",VLOOKUP('Comptage Décadaire'!F65,Nomenclature!$B$2:$C$4,2,FALSE),"")</f>
        <v/>
      </c>
      <c r="G64" s="29" t="str">
        <f>IF('Comptage Décadaire'!G65&lt;&gt;"",VLOOKUP('Comptage Décadaire'!G65,'Comptage Décadaire'!G:G,1,FALSE),"")</f>
        <v/>
      </c>
      <c r="H64" s="29" t="str">
        <f>IF('Comptage Décadaire'!H65&lt;&gt;"",VLOOKUP('Comptage Décadaire'!H65,Nomenclature!$D$2:$E$7,2,FALSE),"")</f>
        <v/>
      </c>
      <c r="I64" s="30" t="str">
        <f>IF('Comptage Décadaire'!J65&lt;&gt;"",VLOOKUP('Comptage Décadaire'!J65,'Comptage Décadaire'!J:J,1,FALSE),"")</f>
        <v/>
      </c>
      <c r="J64" s="30" t="str">
        <f>IF('Comptage Décadaire'!K65&lt;&gt;"",VLOOKUP('Comptage Décadaire'!K65,'Comptage Décadaire'!K:K,1,FALSE),"")</f>
        <v/>
      </c>
      <c r="K64" s="30" t="str">
        <f>IF('Comptage Décadaire'!L65&lt;&gt;"",VLOOKUP('Comptage Décadaire'!L65,'Comptage Décadaire'!L:L,1,FALSE),"")</f>
        <v/>
      </c>
      <c r="L64" s="31" t="str">
        <f>IF('Comptage Décadaire'!M65&lt;&gt;"",VLOOKUP('Comptage Décadaire'!M65,'Comptage Décadaire'!M:M,1,FALSE),"")</f>
        <v/>
      </c>
      <c r="M64" s="33" t="str">
        <f>IF('Comptage Décadaire'!N65&lt;&gt;"",VLOOKUP('Comptage Décadaire'!N65,Utilisateurs!$D:$F,3,FALSE),"")</f>
        <v/>
      </c>
      <c r="N64" s="33" t="str">
        <f>IF('Comptage Décadaire'!O65&lt;&gt;"",VLOOKUP('Comptage Décadaire'!O65,Utilisateurs!$D:$F,3,FALSE),"")</f>
        <v/>
      </c>
      <c r="O64" s="33" t="str">
        <f>IF('Comptage Décadaire'!P65&lt;&gt;"",VLOOKUP('Comptage Décadaire'!P65,Utilisateurs!$D:$F,3,FALSE),"")</f>
        <v/>
      </c>
      <c r="P64" s="33" t="str">
        <f>IF('Comptage Décadaire'!Q65&lt;&gt;"",VLOOKUP('Comptage Décadaire'!Q65,Utilisateurs!$D:$F,3,FALSE),"")</f>
        <v/>
      </c>
      <c r="Q64" s="33" t="str">
        <f>IF('Comptage Décadaire'!R65&lt;&gt;"",VLOOKUP('Comptage Décadaire'!R65,Utilisateurs!$D:$F,3,FALSE),"")</f>
        <v/>
      </c>
      <c r="R64" s="30" t="str">
        <f>IF('Comptage Décadaire'!S65&lt;&gt;"",VLOOKUP('Comptage Décadaire'!S65,Nomenclature!$N:$O,2,FALSE),"")</f>
        <v/>
      </c>
      <c r="S64" s="30" t="str">
        <f>IF('Comptage Décadaire'!T65&lt;&gt;"",VLOOKUP('Comptage Décadaire'!T65,'Comptage Décadaire'!T:T,1,FALSE),"")</f>
        <v/>
      </c>
      <c r="T64" s="30" t="str">
        <f>IF('Comptage Décadaire'!U65&lt;&gt;"",VLOOKUP('Comptage Décadaire'!U65,'Comptage Décadaire'!U:U,1,FALSE),"")</f>
        <v/>
      </c>
      <c r="U64" s="30" t="str">
        <f>IF('Comptage Décadaire'!V65&lt;&gt;"",VLOOKUP('Comptage Décadaire'!V65,'Comptage Décadaire'!V:V,1,FALSE),"")</f>
        <v/>
      </c>
      <c r="V64" s="30" t="str">
        <f>IF('Comptage Décadaire'!W65&lt;&gt;"",VLOOKUP('Comptage Décadaire'!W65,'Comptage Décadaire'!W:W,1,FALSE),"")</f>
        <v/>
      </c>
      <c r="W64" s="30" t="str">
        <f>IF('Comptage Décadaire'!X65&lt;&gt;"",VLOOKUP('Comptage Décadaire'!X65,'Comptage Décadaire'!X:X,1,FALSE),"")</f>
        <v/>
      </c>
      <c r="X64" s="30" t="str">
        <f>IF('Comptage Décadaire'!Y65&lt;&gt;"",VLOOKUP('Comptage Décadaire'!Y65,'Comptage Décadaire'!Y:Y,1,FALSE),"")</f>
        <v/>
      </c>
      <c r="Y64" s="30" t="str">
        <f>IF('Comptage Décadaire'!Z65&lt;&gt;"",VLOOKUP('Comptage Décadaire'!Z65,Nomenclature!$F$2:$G$7,2,FALSE),"")</f>
        <v/>
      </c>
      <c r="Z64" s="30" t="str">
        <f>IF('Comptage Décadaire'!AA65&lt;&gt;"",VLOOKUP('Comptage Décadaire'!AA65,Nomenclature!$H$2:$I$31,2,FALSE),"")</f>
        <v/>
      </c>
      <c r="AA64" s="30" t="str">
        <f>IF('Comptage Décadaire'!AB65&lt;&gt;"",VLOOKUP('Comptage Décadaire'!AB65,Nomenclature!$J$2:$K$21,2,FALSE),"")</f>
        <v/>
      </c>
      <c r="AB64" s="30" t="str">
        <f>IF('Comptage Décadaire'!AC65&lt;&gt;"",VLOOKUP('Comptage Décadaire'!AC65,'Comptage Décadaire'!AC:AC,1,FALSE),"")</f>
        <v/>
      </c>
      <c r="AC64" s="32" t="str">
        <f>IF('Comptage Décadaire'!AD65&lt;&gt;"",VLOOKUP('Comptage Décadaire'!AD65,Nomenclature!$L$2:$M$8,2,FALSE),"")</f>
        <v/>
      </c>
      <c r="AD64" s="32" t="str">
        <f>IF('Comptage Décadaire'!AE65&lt;&gt;"",VLOOKUP('Comptage Décadaire'!AE65,Utilisateurs!$D$2:$F$81,3,FALSE),"")</f>
        <v/>
      </c>
      <c r="AE64" s="35" t="str">
        <f>IF('Comptage Décadaire'!AF65&lt;&gt;"",VLOOKUP('Comptage Décadaire'!AF65,'Comptage Décadaire'!AF:AF,1,FALSE),"")</f>
        <v/>
      </c>
      <c r="AF64" s="32" t="str">
        <f>IF('Comptage Décadaire'!AG65&lt;&gt;"",VLOOKUP('Comptage Décadaire'!AG65,'Comptage Décadaire'!AG:AG,1,FALSE),"")</f>
        <v/>
      </c>
    </row>
    <row r="65" spans="1:32" x14ac:dyDescent="0.25">
      <c r="A65" s="25" t="str">
        <f>IF('Comptage Décadaire'!A66&lt;&gt;"",VLOOKUP('Comptage Décadaire'!A66,'Comptage Décadaire'!A:A,1,FALSE),"")</f>
        <v/>
      </c>
      <c r="B65" s="27" t="str">
        <f>IF('Comptage Décadaire'!B66&lt;&gt;"",VLOOKUP('Comptage Décadaire'!B66,'Comptage Décadaire'!B:B,1,FALSE),"")</f>
        <v/>
      </c>
      <c r="C65" s="28" t="str">
        <f>IF('Comptage Décadaire'!C66&lt;&gt;"",VLOOKUP('Comptage Décadaire'!C66,'Comptage Décadaire'!C:C,1,FALSE),"")</f>
        <v/>
      </c>
      <c r="D65" s="29" t="str">
        <f>IF('Comptage Décadaire'!D66&lt;&gt;"",VLOOKUP('Comptage Décadaire'!D66,Sites!$A:$B,2,FALSE),"")</f>
        <v/>
      </c>
      <c r="E65" s="29" t="str">
        <f>IF('Comptage Décadaire'!E66&lt;&gt;"",VLOOKUP('Comptage Décadaire'!E66,'Comptage Décadaire'!E:E,1,FALSE),"")</f>
        <v/>
      </c>
      <c r="F65" s="29" t="str">
        <f>IF('Comptage Décadaire'!F66&lt;&gt;"",VLOOKUP('Comptage Décadaire'!F66,Nomenclature!$B$2:$C$4,2,FALSE),"")</f>
        <v/>
      </c>
      <c r="G65" s="29" t="str">
        <f>IF('Comptage Décadaire'!G66&lt;&gt;"",VLOOKUP('Comptage Décadaire'!G66,'Comptage Décadaire'!G:G,1,FALSE),"")</f>
        <v/>
      </c>
      <c r="H65" s="29" t="str">
        <f>IF('Comptage Décadaire'!H66&lt;&gt;"",VLOOKUP('Comptage Décadaire'!H66,Nomenclature!$D$2:$E$7,2,FALSE),"")</f>
        <v/>
      </c>
      <c r="I65" s="30" t="str">
        <f>IF('Comptage Décadaire'!J66&lt;&gt;"",VLOOKUP('Comptage Décadaire'!J66,'Comptage Décadaire'!J:J,1,FALSE),"")</f>
        <v/>
      </c>
      <c r="J65" s="30" t="str">
        <f>IF('Comptage Décadaire'!K66&lt;&gt;"",VLOOKUP('Comptage Décadaire'!K66,'Comptage Décadaire'!K:K,1,FALSE),"")</f>
        <v/>
      </c>
      <c r="K65" s="30" t="str">
        <f>IF('Comptage Décadaire'!L66&lt;&gt;"",VLOOKUP('Comptage Décadaire'!L66,'Comptage Décadaire'!L:L,1,FALSE),"")</f>
        <v/>
      </c>
      <c r="L65" s="31" t="str">
        <f>IF('Comptage Décadaire'!M66&lt;&gt;"",VLOOKUP('Comptage Décadaire'!M66,'Comptage Décadaire'!M:M,1,FALSE),"")</f>
        <v/>
      </c>
      <c r="M65" s="33" t="str">
        <f>IF('Comptage Décadaire'!N66&lt;&gt;"",VLOOKUP('Comptage Décadaire'!N66,Utilisateurs!$D:$F,3,FALSE),"")</f>
        <v/>
      </c>
      <c r="N65" s="33" t="str">
        <f>IF('Comptage Décadaire'!O66&lt;&gt;"",VLOOKUP('Comptage Décadaire'!O66,Utilisateurs!$D:$F,3,FALSE),"")</f>
        <v/>
      </c>
      <c r="O65" s="33" t="str">
        <f>IF('Comptage Décadaire'!P66&lt;&gt;"",VLOOKUP('Comptage Décadaire'!P66,Utilisateurs!$D:$F,3,FALSE),"")</f>
        <v/>
      </c>
      <c r="P65" s="33" t="str">
        <f>IF('Comptage Décadaire'!Q66&lt;&gt;"",VLOOKUP('Comptage Décadaire'!Q66,Utilisateurs!$D:$F,3,FALSE),"")</f>
        <v/>
      </c>
      <c r="Q65" s="33" t="str">
        <f>IF('Comptage Décadaire'!R66&lt;&gt;"",VLOOKUP('Comptage Décadaire'!R66,Utilisateurs!$D:$F,3,FALSE),"")</f>
        <v/>
      </c>
      <c r="R65" s="30" t="str">
        <f>IF('Comptage Décadaire'!S66&lt;&gt;"",VLOOKUP('Comptage Décadaire'!S66,Nomenclature!$N:$O,2,FALSE),"")</f>
        <v/>
      </c>
      <c r="S65" s="30" t="str">
        <f>IF('Comptage Décadaire'!T66&lt;&gt;"",VLOOKUP('Comptage Décadaire'!T66,'Comptage Décadaire'!T:T,1,FALSE),"")</f>
        <v/>
      </c>
      <c r="T65" s="30" t="str">
        <f>IF('Comptage Décadaire'!U66&lt;&gt;"",VLOOKUP('Comptage Décadaire'!U66,'Comptage Décadaire'!U:U,1,FALSE),"")</f>
        <v/>
      </c>
      <c r="U65" s="30" t="str">
        <f>IF('Comptage Décadaire'!V66&lt;&gt;"",VLOOKUP('Comptage Décadaire'!V66,'Comptage Décadaire'!V:V,1,FALSE),"")</f>
        <v/>
      </c>
      <c r="V65" s="30" t="str">
        <f>IF('Comptage Décadaire'!W66&lt;&gt;"",VLOOKUP('Comptage Décadaire'!W66,'Comptage Décadaire'!W:W,1,FALSE),"")</f>
        <v/>
      </c>
      <c r="W65" s="30" t="str">
        <f>IF('Comptage Décadaire'!X66&lt;&gt;"",VLOOKUP('Comptage Décadaire'!X66,'Comptage Décadaire'!X:X,1,FALSE),"")</f>
        <v/>
      </c>
      <c r="X65" s="30" t="str">
        <f>IF('Comptage Décadaire'!Y66&lt;&gt;"",VLOOKUP('Comptage Décadaire'!Y66,'Comptage Décadaire'!Y:Y,1,FALSE),"")</f>
        <v/>
      </c>
      <c r="Y65" s="30" t="str">
        <f>IF('Comptage Décadaire'!Z66&lt;&gt;"",VLOOKUP('Comptage Décadaire'!Z66,Nomenclature!$F$2:$G$7,2,FALSE),"")</f>
        <v/>
      </c>
      <c r="Z65" s="30" t="str">
        <f>IF('Comptage Décadaire'!AA66&lt;&gt;"",VLOOKUP('Comptage Décadaire'!AA66,Nomenclature!$H$2:$I$31,2,FALSE),"")</f>
        <v/>
      </c>
      <c r="AA65" s="30" t="str">
        <f>IF('Comptage Décadaire'!AB66&lt;&gt;"",VLOOKUP('Comptage Décadaire'!AB66,Nomenclature!$J$2:$K$21,2,FALSE),"")</f>
        <v/>
      </c>
      <c r="AB65" s="30" t="str">
        <f>IF('Comptage Décadaire'!AC66&lt;&gt;"",VLOOKUP('Comptage Décadaire'!AC66,'Comptage Décadaire'!AC:AC,1,FALSE),"")</f>
        <v/>
      </c>
      <c r="AC65" s="32" t="str">
        <f>IF('Comptage Décadaire'!AD66&lt;&gt;"",VLOOKUP('Comptage Décadaire'!AD66,Nomenclature!$L$2:$M$8,2,FALSE),"")</f>
        <v/>
      </c>
      <c r="AD65" s="32" t="str">
        <f>IF('Comptage Décadaire'!AE66&lt;&gt;"",VLOOKUP('Comptage Décadaire'!AE66,Utilisateurs!$D$2:$F$81,3,FALSE),"")</f>
        <v/>
      </c>
      <c r="AE65" s="35" t="str">
        <f>IF('Comptage Décadaire'!AF66&lt;&gt;"",VLOOKUP('Comptage Décadaire'!AF66,'Comptage Décadaire'!AF:AF,1,FALSE),"")</f>
        <v/>
      </c>
      <c r="AF65" s="32" t="str">
        <f>IF('Comptage Décadaire'!AG66&lt;&gt;"",VLOOKUP('Comptage Décadaire'!AG66,'Comptage Décadaire'!AG:AG,1,FALSE),"")</f>
        <v/>
      </c>
    </row>
    <row r="66" spans="1:32" x14ac:dyDescent="0.25">
      <c r="A66" s="25" t="str">
        <f>IF('Comptage Décadaire'!A67&lt;&gt;"",VLOOKUP('Comptage Décadaire'!A67,'Comptage Décadaire'!A:A,1,FALSE),"")</f>
        <v/>
      </c>
      <c r="B66" s="27" t="str">
        <f>IF('Comptage Décadaire'!B67&lt;&gt;"",VLOOKUP('Comptage Décadaire'!B67,'Comptage Décadaire'!B:B,1,FALSE),"")</f>
        <v/>
      </c>
      <c r="C66" s="28" t="str">
        <f>IF('Comptage Décadaire'!C67&lt;&gt;"",VLOOKUP('Comptage Décadaire'!C67,'Comptage Décadaire'!C:C,1,FALSE),"")</f>
        <v/>
      </c>
      <c r="D66" s="29" t="str">
        <f>IF('Comptage Décadaire'!D67&lt;&gt;"",VLOOKUP('Comptage Décadaire'!D67,Sites!$A:$B,2,FALSE),"")</f>
        <v/>
      </c>
      <c r="E66" s="29" t="str">
        <f>IF('Comptage Décadaire'!E67&lt;&gt;"",VLOOKUP('Comptage Décadaire'!E67,'Comptage Décadaire'!E:E,1,FALSE),"")</f>
        <v/>
      </c>
      <c r="F66" s="29" t="str">
        <f>IF('Comptage Décadaire'!F67&lt;&gt;"",VLOOKUP('Comptage Décadaire'!F67,Nomenclature!$B$2:$C$4,2,FALSE),"")</f>
        <v/>
      </c>
      <c r="G66" s="29" t="str">
        <f>IF('Comptage Décadaire'!G67&lt;&gt;"",VLOOKUP('Comptage Décadaire'!G67,'Comptage Décadaire'!G:G,1,FALSE),"")</f>
        <v/>
      </c>
      <c r="H66" s="29" t="str">
        <f>IF('Comptage Décadaire'!H67&lt;&gt;"",VLOOKUP('Comptage Décadaire'!H67,Nomenclature!$D$2:$E$7,2,FALSE),"")</f>
        <v/>
      </c>
      <c r="I66" s="30" t="str">
        <f>IF('Comptage Décadaire'!J67&lt;&gt;"",VLOOKUP('Comptage Décadaire'!J67,'Comptage Décadaire'!J:J,1,FALSE),"")</f>
        <v/>
      </c>
      <c r="J66" s="30" t="str">
        <f>IF('Comptage Décadaire'!K67&lt;&gt;"",VLOOKUP('Comptage Décadaire'!K67,'Comptage Décadaire'!K:K,1,FALSE),"")</f>
        <v/>
      </c>
      <c r="K66" s="30" t="str">
        <f>IF('Comptage Décadaire'!L67&lt;&gt;"",VLOOKUP('Comptage Décadaire'!L67,'Comptage Décadaire'!L:L,1,FALSE),"")</f>
        <v/>
      </c>
      <c r="L66" s="31" t="str">
        <f>IF('Comptage Décadaire'!M67&lt;&gt;"",VLOOKUP('Comptage Décadaire'!M67,'Comptage Décadaire'!M:M,1,FALSE),"")</f>
        <v/>
      </c>
      <c r="M66" s="33" t="str">
        <f>IF('Comptage Décadaire'!N67&lt;&gt;"",VLOOKUP('Comptage Décadaire'!N67,Utilisateurs!$D:$F,3,FALSE),"")</f>
        <v/>
      </c>
      <c r="N66" s="33" t="str">
        <f>IF('Comptage Décadaire'!O67&lt;&gt;"",VLOOKUP('Comptage Décadaire'!O67,Utilisateurs!$D:$F,3,FALSE),"")</f>
        <v/>
      </c>
      <c r="O66" s="33" t="str">
        <f>IF('Comptage Décadaire'!P67&lt;&gt;"",VLOOKUP('Comptage Décadaire'!P67,Utilisateurs!$D:$F,3,FALSE),"")</f>
        <v/>
      </c>
      <c r="P66" s="33" t="str">
        <f>IF('Comptage Décadaire'!Q67&lt;&gt;"",VLOOKUP('Comptage Décadaire'!Q67,Utilisateurs!$D:$F,3,FALSE),"")</f>
        <v/>
      </c>
      <c r="Q66" s="33" t="str">
        <f>IF('Comptage Décadaire'!R67&lt;&gt;"",VLOOKUP('Comptage Décadaire'!R67,Utilisateurs!$D:$F,3,FALSE),"")</f>
        <v/>
      </c>
      <c r="R66" s="30" t="str">
        <f>IF('Comptage Décadaire'!S67&lt;&gt;"",VLOOKUP('Comptage Décadaire'!S67,Nomenclature!$N:$O,2,FALSE),"")</f>
        <v/>
      </c>
      <c r="S66" s="30" t="str">
        <f>IF('Comptage Décadaire'!T67&lt;&gt;"",VLOOKUP('Comptage Décadaire'!T67,'Comptage Décadaire'!T:T,1,FALSE),"")</f>
        <v/>
      </c>
      <c r="T66" s="30" t="str">
        <f>IF('Comptage Décadaire'!U67&lt;&gt;"",VLOOKUP('Comptage Décadaire'!U67,'Comptage Décadaire'!U:U,1,FALSE),"")</f>
        <v/>
      </c>
      <c r="U66" s="30" t="str">
        <f>IF('Comptage Décadaire'!V67&lt;&gt;"",VLOOKUP('Comptage Décadaire'!V67,'Comptage Décadaire'!V:V,1,FALSE),"")</f>
        <v/>
      </c>
      <c r="V66" s="30" t="str">
        <f>IF('Comptage Décadaire'!W67&lt;&gt;"",VLOOKUP('Comptage Décadaire'!W67,'Comptage Décadaire'!W:W,1,FALSE),"")</f>
        <v/>
      </c>
      <c r="W66" s="30" t="str">
        <f>IF('Comptage Décadaire'!X67&lt;&gt;"",VLOOKUP('Comptage Décadaire'!X67,'Comptage Décadaire'!X:X,1,FALSE),"")</f>
        <v/>
      </c>
      <c r="X66" s="30" t="str">
        <f>IF('Comptage Décadaire'!Y67&lt;&gt;"",VLOOKUP('Comptage Décadaire'!Y67,'Comptage Décadaire'!Y:Y,1,FALSE),"")</f>
        <v/>
      </c>
      <c r="Y66" s="30" t="str">
        <f>IF('Comptage Décadaire'!Z67&lt;&gt;"",VLOOKUP('Comptage Décadaire'!Z67,Nomenclature!$F$2:$G$7,2,FALSE),"")</f>
        <v/>
      </c>
      <c r="Z66" s="30" t="str">
        <f>IF('Comptage Décadaire'!AA67&lt;&gt;"",VLOOKUP('Comptage Décadaire'!AA67,Nomenclature!$H$2:$I$31,2,FALSE),"")</f>
        <v/>
      </c>
      <c r="AA66" s="30" t="str">
        <f>IF('Comptage Décadaire'!AB67&lt;&gt;"",VLOOKUP('Comptage Décadaire'!AB67,Nomenclature!$J$2:$K$21,2,FALSE),"")</f>
        <v/>
      </c>
      <c r="AB66" s="30" t="str">
        <f>IF('Comptage Décadaire'!AC67&lt;&gt;"",VLOOKUP('Comptage Décadaire'!AC67,'Comptage Décadaire'!AC:AC,1,FALSE),"")</f>
        <v/>
      </c>
      <c r="AC66" s="32" t="str">
        <f>IF('Comptage Décadaire'!AD67&lt;&gt;"",VLOOKUP('Comptage Décadaire'!AD67,Nomenclature!$L$2:$M$8,2,FALSE),"")</f>
        <v/>
      </c>
      <c r="AD66" s="32" t="str">
        <f>IF('Comptage Décadaire'!AE67&lt;&gt;"",VLOOKUP('Comptage Décadaire'!AE67,Utilisateurs!$D$2:$F$81,3,FALSE),"")</f>
        <v/>
      </c>
      <c r="AE66" s="35" t="str">
        <f>IF('Comptage Décadaire'!AF67&lt;&gt;"",VLOOKUP('Comptage Décadaire'!AF67,'Comptage Décadaire'!AF:AF,1,FALSE),"")</f>
        <v/>
      </c>
      <c r="AF66" s="32" t="str">
        <f>IF('Comptage Décadaire'!AG67&lt;&gt;"",VLOOKUP('Comptage Décadaire'!AG67,'Comptage Décadaire'!AG:AG,1,FALSE),"")</f>
        <v/>
      </c>
    </row>
    <row r="67" spans="1:32" x14ac:dyDescent="0.25">
      <c r="A67" s="25" t="str">
        <f>IF('Comptage Décadaire'!A68&lt;&gt;"",VLOOKUP('Comptage Décadaire'!A68,'Comptage Décadaire'!A:A,1,FALSE),"")</f>
        <v/>
      </c>
      <c r="B67" s="27" t="str">
        <f>IF('Comptage Décadaire'!B68&lt;&gt;"",VLOOKUP('Comptage Décadaire'!B68,'Comptage Décadaire'!B:B,1,FALSE),"")</f>
        <v/>
      </c>
      <c r="C67" s="28" t="str">
        <f>IF('Comptage Décadaire'!C68&lt;&gt;"",VLOOKUP('Comptage Décadaire'!C68,'Comptage Décadaire'!C:C,1,FALSE),"")</f>
        <v/>
      </c>
      <c r="D67" s="29" t="str">
        <f>IF('Comptage Décadaire'!D68&lt;&gt;"",VLOOKUP('Comptage Décadaire'!D68,Sites!$A:$B,2,FALSE),"")</f>
        <v/>
      </c>
      <c r="E67" s="29" t="str">
        <f>IF('Comptage Décadaire'!E68&lt;&gt;"",VLOOKUP('Comptage Décadaire'!E68,'Comptage Décadaire'!E:E,1,FALSE),"")</f>
        <v/>
      </c>
      <c r="F67" s="29" t="str">
        <f>IF('Comptage Décadaire'!F68&lt;&gt;"",VLOOKUP('Comptage Décadaire'!F68,Nomenclature!$B$2:$C$4,2,FALSE),"")</f>
        <v/>
      </c>
      <c r="G67" s="29" t="str">
        <f>IF('Comptage Décadaire'!G68&lt;&gt;"",VLOOKUP('Comptage Décadaire'!G68,'Comptage Décadaire'!G:G,1,FALSE),"")</f>
        <v/>
      </c>
      <c r="H67" s="29" t="str">
        <f>IF('Comptage Décadaire'!H68&lt;&gt;"",VLOOKUP('Comptage Décadaire'!H68,Nomenclature!$D$2:$E$7,2,FALSE),"")</f>
        <v/>
      </c>
      <c r="I67" s="30" t="str">
        <f>IF('Comptage Décadaire'!J68&lt;&gt;"",VLOOKUP('Comptage Décadaire'!J68,'Comptage Décadaire'!J:J,1,FALSE),"")</f>
        <v/>
      </c>
      <c r="J67" s="30" t="str">
        <f>IF('Comptage Décadaire'!K68&lt;&gt;"",VLOOKUP('Comptage Décadaire'!K68,'Comptage Décadaire'!K:K,1,FALSE),"")</f>
        <v/>
      </c>
      <c r="K67" s="30" t="str">
        <f>IF('Comptage Décadaire'!L68&lt;&gt;"",VLOOKUP('Comptage Décadaire'!L68,'Comptage Décadaire'!L:L,1,FALSE),"")</f>
        <v/>
      </c>
      <c r="L67" s="31" t="str">
        <f>IF('Comptage Décadaire'!M68&lt;&gt;"",VLOOKUP('Comptage Décadaire'!M68,'Comptage Décadaire'!M:M,1,FALSE),"")</f>
        <v/>
      </c>
      <c r="M67" s="33" t="str">
        <f>IF('Comptage Décadaire'!N68&lt;&gt;"",VLOOKUP('Comptage Décadaire'!N68,Utilisateurs!$D:$F,3,FALSE),"")</f>
        <v/>
      </c>
      <c r="N67" s="33" t="str">
        <f>IF('Comptage Décadaire'!O68&lt;&gt;"",VLOOKUP('Comptage Décadaire'!O68,Utilisateurs!$D:$F,3,FALSE),"")</f>
        <v/>
      </c>
      <c r="O67" s="33" t="str">
        <f>IF('Comptage Décadaire'!P68&lt;&gt;"",VLOOKUP('Comptage Décadaire'!P68,Utilisateurs!$D:$F,3,FALSE),"")</f>
        <v/>
      </c>
      <c r="P67" s="33" t="str">
        <f>IF('Comptage Décadaire'!Q68&lt;&gt;"",VLOOKUP('Comptage Décadaire'!Q68,Utilisateurs!$D:$F,3,FALSE),"")</f>
        <v/>
      </c>
      <c r="Q67" s="33" t="str">
        <f>IF('Comptage Décadaire'!R68&lt;&gt;"",VLOOKUP('Comptage Décadaire'!R68,Utilisateurs!$D:$F,3,FALSE),"")</f>
        <v/>
      </c>
      <c r="R67" s="30" t="str">
        <f>IF('Comptage Décadaire'!S68&lt;&gt;"",VLOOKUP('Comptage Décadaire'!S68,Nomenclature!$N:$O,2,FALSE),"")</f>
        <v/>
      </c>
      <c r="S67" s="30" t="str">
        <f>IF('Comptage Décadaire'!T68&lt;&gt;"",VLOOKUP('Comptage Décadaire'!T68,'Comptage Décadaire'!T:T,1,FALSE),"")</f>
        <v/>
      </c>
      <c r="T67" s="30" t="str">
        <f>IF('Comptage Décadaire'!U68&lt;&gt;"",VLOOKUP('Comptage Décadaire'!U68,'Comptage Décadaire'!U:U,1,FALSE),"")</f>
        <v/>
      </c>
      <c r="U67" s="30" t="str">
        <f>IF('Comptage Décadaire'!V68&lt;&gt;"",VLOOKUP('Comptage Décadaire'!V68,'Comptage Décadaire'!V:V,1,FALSE),"")</f>
        <v/>
      </c>
      <c r="V67" s="30" t="str">
        <f>IF('Comptage Décadaire'!W68&lt;&gt;"",VLOOKUP('Comptage Décadaire'!W68,'Comptage Décadaire'!W:W,1,FALSE),"")</f>
        <v/>
      </c>
      <c r="W67" s="30" t="str">
        <f>IF('Comptage Décadaire'!X68&lt;&gt;"",VLOOKUP('Comptage Décadaire'!X68,'Comptage Décadaire'!X:X,1,FALSE),"")</f>
        <v/>
      </c>
      <c r="X67" s="30" t="str">
        <f>IF('Comptage Décadaire'!Y68&lt;&gt;"",VLOOKUP('Comptage Décadaire'!Y68,'Comptage Décadaire'!Y:Y,1,FALSE),"")</f>
        <v/>
      </c>
      <c r="Y67" s="30" t="str">
        <f>IF('Comptage Décadaire'!Z68&lt;&gt;"",VLOOKUP('Comptage Décadaire'!Z68,Nomenclature!$F$2:$G$7,2,FALSE),"")</f>
        <v/>
      </c>
      <c r="Z67" s="30" t="str">
        <f>IF('Comptage Décadaire'!AA68&lt;&gt;"",VLOOKUP('Comptage Décadaire'!AA68,Nomenclature!$H$2:$I$31,2,FALSE),"")</f>
        <v/>
      </c>
      <c r="AA67" s="30" t="str">
        <f>IF('Comptage Décadaire'!AB68&lt;&gt;"",VLOOKUP('Comptage Décadaire'!AB68,Nomenclature!$J$2:$K$21,2,FALSE),"")</f>
        <v/>
      </c>
      <c r="AB67" s="30" t="str">
        <f>IF('Comptage Décadaire'!AC68&lt;&gt;"",VLOOKUP('Comptage Décadaire'!AC68,'Comptage Décadaire'!AC:AC,1,FALSE),"")</f>
        <v/>
      </c>
      <c r="AC67" s="32" t="str">
        <f>IF('Comptage Décadaire'!AD68&lt;&gt;"",VLOOKUP('Comptage Décadaire'!AD68,Nomenclature!$L$2:$M$8,2,FALSE),"")</f>
        <v/>
      </c>
      <c r="AD67" s="32" t="str">
        <f>IF('Comptage Décadaire'!AE68&lt;&gt;"",VLOOKUP('Comptage Décadaire'!AE68,Utilisateurs!$D$2:$F$81,3,FALSE),"")</f>
        <v/>
      </c>
      <c r="AE67" s="35" t="str">
        <f>IF('Comptage Décadaire'!AF68&lt;&gt;"",VLOOKUP('Comptage Décadaire'!AF68,'Comptage Décadaire'!AF:AF,1,FALSE),"")</f>
        <v/>
      </c>
      <c r="AF67" s="32" t="str">
        <f>IF('Comptage Décadaire'!AG68&lt;&gt;"",VLOOKUP('Comptage Décadaire'!AG68,'Comptage Décadaire'!AG:AG,1,FALSE),"")</f>
        <v/>
      </c>
    </row>
    <row r="68" spans="1:32" x14ac:dyDescent="0.25">
      <c r="A68" s="25" t="str">
        <f>IF('Comptage Décadaire'!A69&lt;&gt;"",VLOOKUP('Comptage Décadaire'!A69,'Comptage Décadaire'!A:A,1,FALSE),"")</f>
        <v/>
      </c>
      <c r="B68" s="27" t="str">
        <f>IF('Comptage Décadaire'!B69&lt;&gt;"",VLOOKUP('Comptage Décadaire'!B69,'Comptage Décadaire'!B:B,1,FALSE),"")</f>
        <v/>
      </c>
      <c r="C68" s="28" t="str">
        <f>IF('Comptage Décadaire'!C69&lt;&gt;"",VLOOKUP('Comptage Décadaire'!C69,'Comptage Décadaire'!C:C,1,FALSE),"")</f>
        <v/>
      </c>
      <c r="D68" s="29" t="str">
        <f>IF('Comptage Décadaire'!D69&lt;&gt;"",VLOOKUP('Comptage Décadaire'!D69,Sites!$A:$B,2,FALSE),"")</f>
        <v/>
      </c>
      <c r="E68" s="29" t="str">
        <f>IF('Comptage Décadaire'!E69&lt;&gt;"",VLOOKUP('Comptage Décadaire'!E69,'Comptage Décadaire'!E:E,1,FALSE),"")</f>
        <v/>
      </c>
      <c r="F68" s="29" t="str">
        <f>IF('Comptage Décadaire'!F69&lt;&gt;"",VLOOKUP('Comptage Décadaire'!F69,Nomenclature!$B$2:$C$4,2,FALSE),"")</f>
        <v/>
      </c>
      <c r="G68" s="29" t="str">
        <f>IF('Comptage Décadaire'!G69&lt;&gt;"",VLOOKUP('Comptage Décadaire'!G69,'Comptage Décadaire'!G:G,1,FALSE),"")</f>
        <v/>
      </c>
      <c r="H68" s="29" t="str">
        <f>IF('Comptage Décadaire'!H69&lt;&gt;"",VLOOKUP('Comptage Décadaire'!H69,Nomenclature!$D$2:$E$7,2,FALSE),"")</f>
        <v/>
      </c>
      <c r="I68" s="30" t="str">
        <f>IF('Comptage Décadaire'!J69&lt;&gt;"",VLOOKUP('Comptage Décadaire'!J69,'Comptage Décadaire'!J:J,1,FALSE),"")</f>
        <v/>
      </c>
      <c r="J68" s="30" t="str">
        <f>IF('Comptage Décadaire'!K69&lt;&gt;"",VLOOKUP('Comptage Décadaire'!K69,'Comptage Décadaire'!K:K,1,FALSE),"")</f>
        <v/>
      </c>
      <c r="K68" s="30" t="str">
        <f>IF('Comptage Décadaire'!L69&lt;&gt;"",VLOOKUP('Comptage Décadaire'!L69,'Comptage Décadaire'!L:L,1,FALSE),"")</f>
        <v/>
      </c>
      <c r="L68" s="31" t="str">
        <f>IF('Comptage Décadaire'!M69&lt;&gt;"",VLOOKUP('Comptage Décadaire'!M69,'Comptage Décadaire'!M:M,1,FALSE),"")</f>
        <v/>
      </c>
      <c r="M68" s="33" t="str">
        <f>IF('Comptage Décadaire'!N69&lt;&gt;"",VLOOKUP('Comptage Décadaire'!N69,Utilisateurs!$D:$F,3,FALSE),"")</f>
        <v/>
      </c>
      <c r="N68" s="33" t="str">
        <f>IF('Comptage Décadaire'!O69&lt;&gt;"",VLOOKUP('Comptage Décadaire'!O69,Utilisateurs!$D:$F,3,FALSE),"")</f>
        <v/>
      </c>
      <c r="O68" s="33" t="str">
        <f>IF('Comptage Décadaire'!P69&lt;&gt;"",VLOOKUP('Comptage Décadaire'!P69,Utilisateurs!$D:$F,3,FALSE),"")</f>
        <v/>
      </c>
      <c r="P68" s="33" t="str">
        <f>IF('Comptage Décadaire'!Q69&lt;&gt;"",VLOOKUP('Comptage Décadaire'!Q69,Utilisateurs!$D:$F,3,FALSE),"")</f>
        <v/>
      </c>
      <c r="Q68" s="33" t="str">
        <f>IF('Comptage Décadaire'!R69&lt;&gt;"",VLOOKUP('Comptage Décadaire'!R69,Utilisateurs!$D:$F,3,FALSE),"")</f>
        <v/>
      </c>
      <c r="R68" s="30" t="str">
        <f>IF('Comptage Décadaire'!S69&lt;&gt;"",VLOOKUP('Comptage Décadaire'!S69,Nomenclature!$N:$O,2,FALSE),"")</f>
        <v/>
      </c>
      <c r="S68" s="30" t="str">
        <f>IF('Comptage Décadaire'!T69&lt;&gt;"",VLOOKUP('Comptage Décadaire'!T69,'Comptage Décadaire'!T:T,1,FALSE),"")</f>
        <v/>
      </c>
      <c r="T68" s="30" t="str">
        <f>IF('Comptage Décadaire'!U69&lt;&gt;"",VLOOKUP('Comptage Décadaire'!U69,'Comptage Décadaire'!U:U,1,FALSE),"")</f>
        <v/>
      </c>
      <c r="U68" s="30" t="str">
        <f>IF('Comptage Décadaire'!V69&lt;&gt;"",VLOOKUP('Comptage Décadaire'!V69,'Comptage Décadaire'!V:V,1,FALSE),"")</f>
        <v/>
      </c>
      <c r="V68" s="30" t="str">
        <f>IF('Comptage Décadaire'!W69&lt;&gt;"",VLOOKUP('Comptage Décadaire'!W69,'Comptage Décadaire'!W:W,1,FALSE),"")</f>
        <v/>
      </c>
      <c r="W68" s="30" t="str">
        <f>IF('Comptage Décadaire'!X69&lt;&gt;"",VLOOKUP('Comptage Décadaire'!X69,'Comptage Décadaire'!X:X,1,FALSE),"")</f>
        <v/>
      </c>
      <c r="X68" s="30" t="str">
        <f>IF('Comptage Décadaire'!Y69&lt;&gt;"",VLOOKUP('Comptage Décadaire'!Y69,'Comptage Décadaire'!Y:Y,1,FALSE),"")</f>
        <v/>
      </c>
      <c r="Y68" s="30" t="str">
        <f>IF('Comptage Décadaire'!Z69&lt;&gt;"",VLOOKUP('Comptage Décadaire'!Z69,Nomenclature!$F$2:$G$7,2,FALSE),"")</f>
        <v/>
      </c>
      <c r="Z68" s="30" t="str">
        <f>IF('Comptage Décadaire'!AA69&lt;&gt;"",VLOOKUP('Comptage Décadaire'!AA69,Nomenclature!$H$2:$I$31,2,FALSE),"")</f>
        <v/>
      </c>
      <c r="AA68" s="30" t="str">
        <f>IF('Comptage Décadaire'!AB69&lt;&gt;"",VLOOKUP('Comptage Décadaire'!AB69,Nomenclature!$J$2:$K$21,2,FALSE),"")</f>
        <v/>
      </c>
      <c r="AB68" s="30" t="str">
        <f>IF('Comptage Décadaire'!AC69&lt;&gt;"",VLOOKUP('Comptage Décadaire'!AC69,'Comptage Décadaire'!AC:AC,1,FALSE),"")</f>
        <v/>
      </c>
      <c r="AC68" s="32" t="str">
        <f>IF('Comptage Décadaire'!AD69&lt;&gt;"",VLOOKUP('Comptage Décadaire'!AD69,Nomenclature!$L$2:$M$8,2,FALSE),"")</f>
        <v/>
      </c>
      <c r="AD68" s="32" t="str">
        <f>IF('Comptage Décadaire'!AE69&lt;&gt;"",VLOOKUP('Comptage Décadaire'!AE69,Utilisateurs!$D$2:$F$81,3,FALSE),"")</f>
        <v/>
      </c>
      <c r="AE68" s="35" t="str">
        <f>IF('Comptage Décadaire'!AF69&lt;&gt;"",VLOOKUP('Comptage Décadaire'!AF69,'Comptage Décadaire'!AF:AF,1,FALSE),"")</f>
        <v/>
      </c>
      <c r="AF68" s="32" t="str">
        <f>IF('Comptage Décadaire'!AG69&lt;&gt;"",VLOOKUP('Comptage Décadaire'!AG69,'Comptage Décadaire'!AG:AG,1,FALSE),"")</f>
        <v/>
      </c>
    </row>
    <row r="69" spans="1:32" x14ac:dyDescent="0.25">
      <c r="A69" s="25" t="str">
        <f>IF('Comptage Décadaire'!A70&lt;&gt;"",VLOOKUP('Comptage Décadaire'!A70,'Comptage Décadaire'!A:A,1,FALSE),"")</f>
        <v/>
      </c>
      <c r="B69" s="27" t="str">
        <f>IF('Comptage Décadaire'!B70&lt;&gt;"",VLOOKUP('Comptage Décadaire'!B70,'Comptage Décadaire'!B:B,1,FALSE),"")</f>
        <v/>
      </c>
      <c r="C69" s="28" t="str">
        <f>IF('Comptage Décadaire'!C70&lt;&gt;"",VLOOKUP('Comptage Décadaire'!C70,'Comptage Décadaire'!C:C,1,FALSE),"")</f>
        <v/>
      </c>
      <c r="D69" s="29" t="str">
        <f>IF('Comptage Décadaire'!D70&lt;&gt;"",VLOOKUP('Comptage Décadaire'!D70,Sites!$A:$B,2,FALSE),"")</f>
        <v/>
      </c>
      <c r="E69" s="29" t="str">
        <f>IF('Comptage Décadaire'!E70&lt;&gt;"",VLOOKUP('Comptage Décadaire'!E70,'Comptage Décadaire'!E:E,1,FALSE),"")</f>
        <v/>
      </c>
      <c r="F69" s="29" t="str">
        <f>IF('Comptage Décadaire'!F70&lt;&gt;"",VLOOKUP('Comptage Décadaire'!F70,Nomenclature!$B$2:$C$4,2,FALSE),"")</f>
        <v/>
      </c>
      <c r="G69" s="29" t="str">
        <f>IF('Comptage Décadaire'!G70&lt;&gt;"",VLOOKUP('Comptage Décadaire'!G70,'Comptage Décadaire'!G:G,1,FALSE),"")</f>
        <v/>
      </c>
      <c r="H69" s="29" t="str">
        <f>IF('Comptage Décadaire'!H70&lt;&gt;"",VLOOKUP('Comptage Décadaire'!H70,Nomenclature!$D$2:$E$7,2,FALSE),"")</f>
        <v/>
      </c>
      <c r="I69" s="30" t="str">
        <f>IF('Comptage Décadaire'!J70&lt;&gt;"",VLOOKUP('Comptage Décadaire'!J70,'Comptage Décadaire'!J:J,1,FALSE),"")</f>
        <v/>
      </c>
      <c r="J69" s="30" t="str">
        <f>IF('Comptage Décadaire'!K70&lt;&gt;"",VLOOKUP('Comptage Décadaire'!K70,'Comptage Décadaire'!K:K,1,FALSE),"")</f>
        <v/>
      </c>
      <c r="K69" s="30" t="str">
        <f>IF('Comptage Décadaire'!L70&lt;&gt;"",VLOOKUP('Comptage Décadaire'!L70,'Comptage Décadaire'!L:L,1,FALSE),"")</f>
        <v/>
      </c>
      <c r="L69" s="31" t="str">
        <f>IF('Comptage Décadaire'!M70&lt;&gt;"",VLOOKUP('Comptage Décadaire'!M70,'Comptage Décadaire'!M:M,1,FALSE),"")</f>
        <v/>
      </c>
      <c r="M69" s="33" t="str">
        <f>IF('Comptage Décadaire'!N70&lt;&gt;"",VLOOKUP('Comptage Décadaire'!N70,Utilisateurs!$D:$F,3,FALSE),"")</f>
        <v/>
      </c>
      <c r="N69" s="33" t="str">
        <f>IF('Comptage Décadaire'!O70&lt;&gt;"",VLOOKUP('Comptage Décadaire'!O70,Utilisateurs!$D:$F,3,FALSE),"")</f>
        <v/>
      </c>
      <c r="O69" s="33" t="str">
        <f>IF('Comptage Décadaire'!P70&lt;&gt;"",VLOOKUP('Comptage Décadaire'!P70,Utilisateurs!$D:$F,3,FALSE),"")</f>
        <v/>
      </c>
      <c r="P69" s="33" t="str">
        <f>IF('Comptage Décadaire'!Q70&lt;&gt;"",VLOOKUP('Comptage Décadaire'!Q70,Utilisateurs!$D:$F,3,FALSE),"")</f>
        <v/>
      </c>
      <c r="Q69" s="33" t="str">
        <f>IF('Comptage Décadaire'!R70&lt;&gt;"",VLOOKUP('Comptage Décadaire'!R70,Utilisateurs!$D:$F,3,FALSE),"")</f>
        <v/>
      </c>
      <c r="R69" s="30" t="str">
        <f>IF('Comptage Décadaire'!S70&lt;&gt;"",VLOOKUP('Comptage Décadaire'!S70,Nomenclature!$N:$O,2,FALSE),"")</f>
        <v/>
      </c>
      <c r="S69" s="30" t="str">
        <f>IF('Comptage Décadaire'!T70&lt;&gt;"",VLOOKUP('Comptage Décadaire'!T70,'Comptage Décadaire'!T:T,1,FALSE),"")</f>
        <v/>
      </c>
      <c r="T69" s="30" t="str">
        <f>IF('Comptage Décadaire'!U70&lt;&gt;"",VLOOKUP('Comptage Décadaire'!U70,'Comptage Décadaire'!U:U,1,FALSE),"")</f>
        <v/>
      </c>
      <c r="U69" s="30" t="str">
        <f>IF('Comptage Décadaire'!V70&lt;&gt;"",VLOOKUP('Comptage Décadaire'!V70,'Comptage Décadaire'!V:V,1,FALSE),"")</f>
        <v/>
      </c>
      <c r="V69" s="30" t="str">
        <f>IF('Comptage Décadaire'!W70&lt;&gt;"",VLOOKUP('Comptage Décadaire'!W70,'Comptage Décadaire'!W:W,1,FALSE),"")</f>
        <v/>
      </c>
      <c r="W69" s="30" t="str">
        <f>IF('Comptage Décadaire'!X70&lt;&gt;"",VLOOKUP('Comptage Décadaire'!X70,'Comptage Décadaire'!X:X,1,FALSE),"")</f>
        <v/>
      </c>
      <c r="X69" s="30" t="str">
        <f>IF('Comptage Décadaire'!Y70&lt;&gt;"",VLOOKUP('Comptage Décadaire'!Y70,'Comptage Décadaire'!Y:Y,1,FALSE),"")</f>
        <v/>
      </c>
      <c r="Y69" s="30" t="str">
        <f>IF('Comptage Décadaire'!Z70&lt;&gt;"",VLOOKUP('Comptage Décadaire'!Z70,Nomenclature!$F$2:$G$7,2,FALSE),"")</f>
        <v/>
      </c>
      <c r="Z69" s="30" t="str">
        <f>IF('Comptage Décadaire'!AA70&lt;&gt;"",VLOOKUP('Comptage Décadaire'!AA70,Nomenclature!$H$2:$I$31,2,FALSE),"")</f>
        <v/>
      </c>
      <c r="AA69" s="30" t="str">
        <f>IF('Comptage Décadaire'!AB70&lt;&gt;"",VLOOKUP('Comptage Décadaire'!AB70,Nomenclature!$J$2:$K$21,2,FALSE),"")</f>
        <v/>
      </c>
      <c r="AB69" s="30" t="str">
        <f>IF('Comptage Décadaire'!AC70&lt;&gt;"",VLOOKUP('Comptage Décadaire'!AC70,'Comptage Décadaire'!AC:AC,1,FALSE),"")</f>
        <v/>
      </c>
      <c r="AC69" s="32" t="str">
        <f>IF('Comptage Décadaire'!AD70&lt;&gt;"",VLOOKUP('Comptage Décadaire'!AD70,Nomenclature!$L$2:$M$8,2,FALSE),"")</f>
        <v/>
      </c>
      <c r="AD69" s="32" t="str">
        <f>IF('Comptage Décadaire'!AE70&lt;&gt;"",VLOOKUP('Comptage Décadaire'!AE70,Utilisateurs!$D$2:$F$81,3,FALSE),"")</f>
        <v/>
      </c>
      <c r="AE69" s="35" t="str">
        <f>IF('Comptage Décadaire'!AF70&lt;&gt;"",VLOOKUP('Comptage Décadaire'!AF70,'Comptage Décadaire'!AF:AF,1,FALSE),"")</f>
        <v/>
      </c>
      <c r="AF69" s="32" t="str">
        <f>IF('Comptage Décadaire'!AG70&lt;&gt;"",VLOOKUP('Comptage Décadaire'!AG70,'Comptage Décadaire'!AG:AG,1,FALSE),"")</f>
        <v/>
      </c>
    </row>
    <row r="70" spans="1:32" x14ac:dyDescent="0.25">
      <c r="A70" s="25" t="str">
        <f>IF('Comptage Décadaire'!A71&lt;&gt;"",VLOOKUP('Comptage Décadaire'!A71,'Comptage Décadaire'!A:A,1,FALSE),"")</f>
        <v/>
      </c>
      <c r="B70" s="27" t="str">
        <f>IF('Comptage Décadaire'!B71&lt;&gt;"",VLOOKUP('Comptage Décadaire'!B71,'Comptage Décadaire'!B:B,1,FALSE),"")</f>
        <v/>
      </c>
      <c r="C70" s="28" t="str">
        <f>IF('Comptage Décadaire'!C71&lt;&gt;"",VLOOKUP('Comptage Décadaire'!C71,'Comptage Décadaire'!C:C,1,FALSE),"")</f>
        <v/>
      </c>
      <c r="D70" s="29" t="str">
        <f>IF('Comptage Décadaire'!D71&lt;&gt;"",VLOOKUP('Comptage Décadaire'!D71,Sites!$A:$B,2,FALSE),"")</f>
        <v/>
      </c>
      <c r="E70" s="29" t="str">
        <f>IF('Comptage Décadaire'!E71&lt;&gt;"",VLOOKUP('Comptage Décadaire'!E71,'Comptage Décadaire'!E:E,1,FALSE),"")</f>
        <v/>
      </c>
      <c r="F70" s="29" t="str">
        <f>IF('Comptage Décadaire'!F71&lt;&gt;"",VLOOKUP('Comptage Décadaire'!F71,Nomenclature!$B$2:$C$4,2,FALSE),"")</f>
        <v/>
      </c>
      <c r="G70" s="29" t="str">
        <f>IF('Comptage Décadaire'!G71&lt;&gt;"",VLOOKUP('Comptage Décadaire'!G71,'Comptage Décadaire'!G:G,1,FALSE),"")</f>
        <v/>
      </c>
      <c r="H70" s="29" t="str">
        <f>IF('Comptage Décadaire'!H71&lt;&gt;"",VLOOKUP('Comptage Décadaire'!H71,Nomenclature!$D$2:$E$7,2,FALSE),"")</f>
        <v/>
      </c>
      <c r="I70" s="30" t="str">
        <f>IF('Comptage Décadaire'!J71&lt;&gt;"",VLOOKUP('Comptage Décadaire'!J71,'Comptage Décadaire'!J:J,1,FALSE),"")</f>
        <v/>
      </c>
      <c r="J70" s="30" t="str">
        <f>IF('Comptage Décadaire'!K71&lt;&gt;"",VLOOKUP('Comptage Décadaire'!K71,'Comptage Décadaire'!K:K,1,FALSE),"")</f>
        <v/>
      </c>
      <c r="K70" s="30" t="str">
        <f>IF('Comptage Décadaire'!L71&lt;&gt;"",VLOOKUP('Comptage Décadaire'!L71,'Comptage Décadaire'!L:L,1,FALSE),"")</f>
        <v/>
      </c>
      <c r="L70" s="31" t="str">
        <f>IF('Comptage Décadaire'!M71&lt;&gt;"",VLOOKUP('Comptage Décadaire'!M71,'Comptage Décadaire'!M:M,1,FALSE),"")</f>
        <v/>
      </c>
      <c r="M70" s="33" t="str">
        <f>IF('Comptage Décadaire'!N71&lt;&gt;"",VLOOKUP('Comptage Décadaire'!N71,Utilisateurs!$D:$F,3,FALSE),"")</f>
        <v/>
      </c>
      <c r="N70" s="33" t="str">
        <f>IF('Comptage Décadaire'!O71&lt;&gt;"",VLOOKUP('Comptage Décadaire'!O71,Utilisateurs!$D:$F,3,FALSE),"")</f>
        <v/>
      </c>
      <c r="O70" s="33" t="str">
        <f>IF('Comptage Décadaire'!P71&lt;&gt;"",VLOOKUP('Comptage Décadaire'!P71,Utilisateurs!$D:$F,3,FALSE),"")</f>
        <v/>
      </c>
      <c r="P70" s="33" t="str">
        <f>IF('Comptage Décadaire'!Q71&lt;&gt;"",VLOOKUP('Comptage Décadaire'!Q71,Utilisateurs!$D:$F,3,FALSE),"")</f>
        <v/>
      </c>
      <c r="Q70" s="33" t="str">
        <f>IF('Comptage Décadaire'!R71&lt;&gt;"",VLOOKUP('Comptage Décadaire'!R71,Utilisateurs!$D:$F,3,FALSE),"")</f>
        <v/>
      </c>
      <c r="R70" s="30" t="str">
        <f>IF('Comptage Décadaire'!S71&lt;&gt;"",VLOOKUP('Comptage Décadaire'!S71,Nomenclature!$N:$O,2,FALSE),"")</f>
        <v/>
      </c>
      <c r="S70" s="30" t="str">
        <f>IF('Comptage Décadaire'!T71&lt;&gt;"",VLOOKUP('Comptage Décadaire'!T71,'Comptage Décadaire'!T:T,1,FALSE),"")</f>
        <v/>
      </c>
      <c r="T70" s="30" t="str">
        <f>IF('Comptage Décadaire'!U71&lt;&gt;"",VLOOKUP('Comptage Décadaire'!U71,'Comptage Décadaire'!U:U,1,FALSE),"")</f>
        <v/>
      </c>
      <c r="U70" s="30" t="str">
        <f>IF('Comptage Décadaire'!V71&lt;&gt;"",VLOOKUP('Comptage Décadaire'!V71,'Comptage Décadaire'!V:V,1,FALSE),"")</f>
        <v/>
      </c>
      <c r="V70" s="30" t="str">
        <f>IF('Comptage Décadaire'!W71&lt;&gt;"",VLOOKUP('Comptage Décadaire'!W71,'Comptage Décadaire'!W:W,1,FALSE),"")</f>
        <v/>
      </c>
      <c r="W70" s="30" t="str">
        <f>IF('Comptage Décadaire'!X71&lt;&gt;"",VLOOKUP('Comptage Décadaire'!X71,'Comptage Décadaire'!X:X,1,FALSE),"")</f>
        <v/>
      </c>
      <c r="X70" s="30" t="str">
        <f>IF('Comptage Décadaire'!Y71&lt;&gt;"",VLOOKUP('Comptage Décadaire'!Y71,'Comptage Décadaire'!Y:Y,1,FALSE),"")</f>
        <v/>
      </c>
      <c r="Y70" s="30" t="str">
        <f>IF('Comptage Décadaire'!Z71&lt;&gt;"",VLOOKUP('Comptage Décadaire'!Z71,Nomenclature!$F$2:$G$7,2,FALSE),"")</f>
        <v/>
      </c>
      <c r="Z70" s="30" t="str">
        <f>IF('Comptage Décadaire'!AA71&lt;&gt;"",VLOOKUP('Comptage Décadaire'!AA71,Nomenclature!$H$2:$I$31,2,FALSE),"")</f>
        <v/>
      </c>
      <c r="AA70" s="30" t="str">
        <f>IF('Comptage Décadaire'!AB71&lt;&gt;"",VLOOKUP('Comptage Décadaire'!AB71,Nomenclature!$J$2:$K$21,2,FALSE),"")</f>
        <v/>
      </c>
      <c r="AB70" s="30" t="str">
        <f>IF('Comptage Décadaire'!AC71&lt;&gt;"",VLOOKUP('Comptage Décadaire'!AC71,'Comptage Décadaire'!AC:AC,1,FALSE),"")</f>
        <v/>
      </c>
      <c r="AC70" s="32" t="str">
        <f>IF('Comptage Décadaire'!AD71&lt;&gt;"",VLOOKUP('Comptage Décadaire'!AD71,Nomenclature!$L$2:$M$8,2,FALSE),"")</f>
        <v/>
      </c>
      <c r="AD70" s="32" t="str">
        <f>IF('Comptage Décadaire'!AE71&lt;&gt;"",VLOOKUP('Comptage Décadaire'!AE71,Utilisateurs!$D$2:$F$81,3,FALSE),"")</f>
        <v/>
      </c>
      <c r="AE70" s="35" t="str">
        <f>IF('Comptage Décadaire'!AF71&lt;&gt;"",VLOOKUP('Comptage Décadaire'!AF71,'Comptage Décadaire'!AF:AF,1,FALSE),"")</f>
        <v/>
      </c>
      <c r="AF70" s="32" t="str">
        <f>IF('Comptage Décadaire'!AG71&lt;&gt;"",VLOOKUP('Comptage Décadaire'!AG71,'Comptage Décadaire'!AG:AG,1,FALSE),"")</f>
        <v/>
      </c>
    </row>
    <row r="71" spans="1:32" x14ac:dyDescent="0.25">
      <c r="A71" s="25" t="str">
        <f>IF('Comptage Décadaire'!A72&lt;&gt;"",VLOOKUP('Comptage Décadaire'!A72,'Comptage Décadaire'!A:A,1,FALSE),"")</f>
        <v/>
      </c>
      <c r="B71" s="27" t="str">
        <f>IF('Comptage Décadaire'!B72&lt;&gt;"",VLOOKUP('Comptage Décadaire'!B72,'Comptage Décadaire'!B:B,1,FALSE),"")</f>
        <v/>
      </c>
      <c r="C71" s="28" t="str">
        <f>IF('Comptage Décadaire'!C72&lt;&gt;"",VLOOKUP('Comptage Décadaire'!C72,'Comptage Décadaire'!C:C,1,FALSE),"")</f>
        <v/>
      </c>
      <c r="D71" s="29" t="str">
        <f>IF('Comptage Décadaire'!D72&lt;&gt;"",VLOOKUP('Comptage Décadaire'!D72,Sites!$A:$B,2,FALSE),"")</f>
        <v/>
      </c>
      <c r="E71" s="29" t="str">
        <f>IF('Comptage Décadaire'!E72&lt;&gt;"",VLOOKUP('Comptage Décadaire'!E72,'Comptage Décadaire'!E:E,1,FALSE),"")</f>
        <v/>
      </c>
      <c r="F71" s="29" t="str">
        <f>IF('Comptage Décadaire'!F72&lt;&gt;"",VLOOKUP('Comptage Décadaire'!F72,Nomenclature!$B$2:$C$4,2,FALSE),"")</f>
        <v/>
      </c>
      <c r="G71" s="29" t="str">
        <f>IF('Comptage Décadaire'!G72&lt;&gt;"",VLOOKUP('Comptage Décadaire'!G72,'Comptage Décadaire'!G:G,1,FALSE),"")</f>
        <v/>
      </c>
      <c r="H71" s="29" t="str">
        <f>IF('Comptage Décadaire'!H72&lt;&gt;"",VLOOKUP('Comptage Décadaire'!H72,Nomenclature!$D$2:$E$7,2,FALSE),"")</f>
        <v/>
      </c>
      <c r="I71" s="30" t="str">
        <f>IF('Comptage Décadaire'!J72&lt;&gt;"",VLOOKUP('Comptage Décadaire'!J72,'Comptage Décadaire'!J:J,1,FALSE),"")</f>
        <v/>
      </c>
      <c r="J71" s="30" t="str">
        <f>IF('Comptage Décadaire'!K72&lt;&gt;"",VLOOKUP('Comptage Décadaire'!K72,'Comptage Décadaire'!K:K,1,FALSE),"")</f>
        <v/>
      </c>
      <c r="K71" s="30" t="str">
        <f>IF('Comptage Décadaire'!L72&lt;&gt;"",VLOOKUP('Comptage Décadaire'!L72,'Comptage Décadaire'!L:L,1,FALSE),"")</f>
        <v/>
      </c>
      <c r="L71" s="31" t="str">
        <f>IF('Comptage Décadaire'!M72&lt;&gt;"",VLOOKUP('Comptage Décadaire'!M72,'Comptage Décadaire'!M:M,1,FALSE),"")</f>
        <v/>
      </c>
      <c r="M71" s="33" t="str">
        <f>IF('Comptage Décadaire'!N72&lt;&gt;"",VLOOKUP('Comptage Décadaire'!N72,Utilisateurs!$D:$F,3,FALSE),"")</f>
        <v/>
      </c>
      <c r="N71" s="33" t="str">
        <f>IF('Comptage Décadaire'!O72&lt;&gt;"",VLOOKUP('Comptage Décadaire'!O72,Utilisateurs!$D:$F,3,FALSE),"")</f>
        <v/>
      </c>
      <c r="O71" s="33" t="str">
        <f>IF('Comptage Décadaire'!P72&lt;&gt;"",VLOOKUP('Comptage Décadaire'!P72,Utilisateurs!$D:$F,3,FALSE),"")</f>
        <v/>
      </c>
      <c r="P71" s="33" t="str">
        <f>IF('Comptage Décadaire'!Q72&lt;&gt;"",VLOOKUP('Comptage Décadaire'!Q72,Utilisateurs!$D:$F,3,FALSE),"")</f>
        <v/>
      </c>
      <c r="Q71" s="33" t="str">
        <f>IF('Comptage Décadaire'!R72&lt;&gt;"",VLOOKUP('Comptage Décadaire'!R72,Utilisateurs!$D:$F,3,FALSE),"")</f>
        <v/>
      </c>
      <c r="R71" s="30" t="str">
        <f>IF('Comptage Décadaire'!S72&lt;&gt;"",VLOOKUP('Comptage Décadaire'!S72,Nomenclature!$N:$O,2,FALSE),"")</f>
        <v/>
      </c>
      <c r="S71" s="30" t="str">
        <f>IF('Comptage Décadaire'!T72&lt;&gt;"",VLOOKUP('Comptage Décadaire'!T72,'Comptage Décadaire'!T:T,1,FALSE),"")</f>
        <v/>
      </c>
      <c r="T71" s="30" t="str">
        <f>IF('Comptage Décadaire'!U72&lt;&gt;"",VLOOKUP('Comptage Décadaire'!U72,'Comptage Décadaire'!U:U,1,FALSE),"")</f>
        <v/>
      </c>
      <c r="U71" s="30" t="str">
        <f>IF('Comptage Décadaire'!V72&lt;&gt;"",VLOOKUP('Comptage Décadaire'!V72,'Comptage Décadaire'!V:V,1,FALSE),"")</f>
        <v/>
      </c>
      <c r="V71" s="30" t="str">
        <f>IF('Comptage Décadaire'!W72&lt;&gt;"",VLOOKUP('Comptage Décadaire'!W72,'Comptage Décadaire'!W:W,1,FALSE),"")</f>
        <v/>
      </c>
      <c r="W71" s="30" t="str">
        <f>IF('Comptage Décadaire'!X72&lt;&gt;"",VLOOKUP('Comptage Décadaire'!X72,'Comptage Décadaire'!X:X,1,FALSE),"")</f>
        <v/>
      </c>
      <c r="X71" s="30" t="str">
        <f>IF('Comptage Décadaire'!Y72&lt;&gt;"",VLOOKUP('Comptage Décadaire'!Y72,'Comptage Décadaire'!Y:Y,1,FALSE),"")</f>
        <v/>
      </c>
      <c r="Y71" s="30" t="str">
        <f>IF('Comptage Décadaire'!Z72&lt;&gt;"",VLOOKUP('Comptage Décadaire'!Z72,Nomenclature!$F$2:$G$7,2,FALSE),"")</f>
        <v/>
      </c>
      <c r="Z71" s="30" t="str">
        <f>IF('Comptage Décadaire'!AA72&lt;&gt;"",VLOOKUP('Comptage Décadaire'!AA72,Nomenclature!$H$2:$I$31,2,FALSE),"")</f>
        <v/>
      </c>
      <c r="AA71" s="30" t="str">
        <f>IF('Comptage Décadaire'!AB72&lt;&gt;"",VLOOKUP('Comptage Décadaire'!AB72,Nomenclature!$J$2:$K$21,2,FALSE),"")</f>
        <v/>
      </c>
      <c r="AB71" s="30" t="str">
        <f>IF('Comptage Décadaire'!AC72&lt;&gt;"",VLOOKUP('Comptage Décadaire'!AC72,'Comptage Décadaire'!AC:AC,1,FALSE),"")</f>
        <v/>
      </c>
      <c r="AC71" s="32" t="str">
        <f>IF('Comptage Décadaire'!AD72&lt;&gt;"",VLOOKUP('Comptage Décadaire'!AD72,Nomenclature!$L$2:$M$8,2,FALSE),"")</f>
        <v/>
      </c>
      <c r="AD71" s="32" t="str">
        <f>IF('Comptage Décadaire'!AE72&lt;&gt;"",VLOOKUP('Comptage Décadaire'!AE72,Utilisateurs!$D$2:$F$81,3,FALSE),"")</f>
        <v/>
      </c>
      <c r="AE71" s="35" t="str">
        <f>IF('Comptage Décadaire'!AF72&lt;&gt;"",VLOOKUP('Comptage Décadaire'!AF72,'Comptage Décadaire'!AF:AF,1,FALSE),"")</f>
        <v/>
      </c>
      <c r="AF71" s="32" t="str">
        <f>IF('Comptage Décadaire'!AG72&lt;&gt;"",VLOOKUP('Comptage Décadaire'!AG72,'Comptage Décadaire'!AG:AG,1,FALSE),"")</f>
        <v/>
      </c>
    </row>
    <row r="72" spans="1:32" x14ac:dyDescent="0.25">
      <c r="A72" s="25" t="str">
        <f>IF('Comptage Décadaire'!A73&lt;&gt;"",VLOOKUP('Comptage Décadaire'!A73,'Comptage Décadaire'!A:A,1,FALSE),"")</f>
        <v/>
      </c>
      <c r="B72" s="27" t="str">
        <f>IF('Comptage Décadaire'!B73&lt;&gt;"",VLOOKUP('Comptage Décadaire'!B73,'Comptage Décadaire'!B:B,1,FALSE),"")</f>
        <v/>
      </c>
      <c r="C72" s="28" t="str">
        <f>IF('Comptage Décadaire'!C73&lt;&gt;"",VLOOKUP('Comptage Décadaire'!C73,'Comptage Décadaire'!C:C,1,FALSE),"")</f>
        <v/>
      </c>
      <c r="D72" s="29" t="str">
        <f>IF('Comptage Décadaire'!D73&lt;&gt;"",VLOOKUP('Comptage Décadaire'!D73,Sites!$A:$B,2,FALSE),"")</f>
        <v/>
      </c>
      <c r="E72" s="29" t="str">
        <f>IF('Comptage Décadaire'!E73&lt;&gt;"",VLOOKUP('Comptage Décadaire'!E73,'Comptage Décadaire'!E:E,1,FALSE),"")</f>
        <v/>
      </c>
      <c r="F72" s="29" t="str">
        <f>IF('Comptage Décadaire'!F73&lt;&gt;"",VLOOKUP('Comptage Décadaire'!F73,Nomenclature!$B$2:$C$4,2,FALSE),"")</f>
        <v/>
      </c>
      <c r="G72" s="29" t="str">
        <f>IF('Comptage Décadaire'!G73&lt;&gt;"",VLOOKUP('Comptage Décadaire'!G73,'Comptage Décadaire'!G:G,1,FALSE),"")</f>
        <v/>
      </c>
      <c r="H72" s="29" t="str">
        <f>IF('Comptage Décadaire'!H73&lt;&gt;"",VLOOKUP('Comptage Décadaire'!H73,Nomenclature!$D$2:$E$7,2,FALSE),"")</f>
        <v/>
      </c>
      <c r="I72" s="30" t="str">
        <f>IF('Comptage Décadaire'!J73&lt;&gt;"",VLOOKUP('Comptage Décadaire'!J73,'Comptage Décadaire'!J:J,1,FALSE),"")</f>
        <v/>
      </c>
      <c r="J72" s="30" t="str">
        <f>IF('Comptage Décadaire'!K73&lt;&gt;"",VLOOKUP('Comptage Décadaire'!K73,'Comptage Décadaire'!K:K,1,FALSE),"")</f>
        <v/>
      </c>
      <c r="K72" s="30" t="str">
        <f>IF('Comptage Décadaire'!L73&lt;&gt;"",VLOOKUP('Comptage Décadaire'!L73,'Comptage Décadaire'!L:L,1,FALSE),"")</f>
        <v/>
      </c>
      <c r="L72" s="31" t="str">
        <f>IF('Comptage Décadaire'!M73&lt;&gt;"",VLOOKUP('Comptage Décadaire'!M73,'Comptage Décadaire'!M:M,1,FALSE),"")</f>
        <v/>
      </c>
      <c r="M72" s="33" t="str">
        <f>IF('Comptage Décadaire'!N73&lt;&gt;"",VLOOKUP('Comptage Décadaire'!N73,Utilisateurs!$D:$F,3,FALSE),"")</f>
        <v/>
      </c>
      <c r="N72" s="33" t="str">
        <f>IF('Comptage Décadaire'!O73&lt;&gt;"",VLOOKUP('Comptage Décadaire'!O73,Utilisateurs!$D:$F,3,FALSE),"")</f>
        <v/>
      </c>
      <c r="O72" s="33" t="str">
        <f>IF('Comptage Décadaire'!P73&lt;&gt;"",VLOOKUP('Comptage Décadaire'!P73,Utilisateurs!$D:$F,3,FALSE),"")</f>
        <v/>
      </c>
      <c r="P72" s="33" t="str">
        <f>IF('Comptage Décadaire'!Q73&lt;&gt;"",VLOOKUP('Comptage Décadaire'!Q73,Utilisateurs!$D:$F,3,FALSE),"")</f>
        <v/>
      </c>
      <c r="Q72" s="33" t="str">
        <f>IF('Comptage Décadaire'!R73&lt;&gt;"",VLOOKUP('Comptage Décadaire'!R73,Utilisateurs!$D:$F,3,FALSE),"")</f>
        <v/>
      </c>
      <c r="R72" s="30" t="str">
        <f>IF('Comptage Décadaire'!S73&lt;&gt;"",VLOOKUP('Comptage Décadaire'!S73,Nomenclature!$N:$O,2,FALSE),"")</f>
        <v/>
      </c>
      <c r="S72" s="30" t="str">
        <f>IF('Comptage Décadaire'!T73&lt;&gt;"",VLOOKUP('Comptage Décadaire'!T73,'Comptage Décadaire'!T:T,1,FALSE),"")</f>
        <v/>
      </c>
      <c r="T72" s="30" t="str">
        <f>IF('Comptage Décadaire'!U73&lt;&gt;"",VLOOKUP('Comptage Décadaire'!U73,'Comptage Décadaire'!U:U,1,FALSE),"")</f>
        <v/>
      </c>
      <c r="U72" s="30" t="str">
        <f>IF('Comptage Décadaire'!V73&lt;&gt;"",VLOOKUP('Comptage Décadaire'!V73,'Comptage Décadaire'!V:V,1,FALSE),"")</f>
        <v/>
      </c>
      <c r="V72" s="30" t="str">
        <f>IF('Comptage Décadaire'!W73&lt;&gt;"",VLOOKUP('Comptage Décadaire'!W73,'Comptage Décadaire'!W:W,1,FALSE),"")</f>
        <v/>
      </c>
      <c r="W72" s="30" t="str">
        <f>IF('Comptage Décadaire'!X73&lt;&gt;"",VLOOKUP('Comptage Décadaire'!X73,'Comptage Décadaire'!X:X,1,FALSE),"")</f>
        <v/>
      </c>
      <c r="X72" s="30" t="str">
        <f>IF('Comptage Décadaire'!Y73&lt;&gt;"",VLOOKUP('Comptage Décadaire'!Y73,'Comptage Décadaire'!Y:Y,1,FALSE),"")</f>
        <v/>
      </c>
      <c r="Y72" s="30" t="str">
        <f>IF('Comptage Décadaire'!Z73&lt;&gt;"",VLOOKUP('Comptage Décadaire'!Z73,Nomenclature!$F$2:$G$7,2,FALSE),"")</f>
        <v/>
      </c>
      <c r="Z72" s="30" t="str">
        <f>IF('Comptage Décadaire'!AA73&lt;&gt;"",VLOOKUP('Comptage Décadaire'!AA73,Nomenclature!$H$2:$I$31,2,FALSE),"")</f>
        <v/>
      </c>
      <c r="AA72" s="30" t="str">
        <f>IF('Comptage Décadaire'!AB73&lt;&gt;"",VLOOKUP('Comptage Décadaire'!AB73,Nomenclature!$J$2:$K$21,2,FALSE),"")</f>
        <v/>
      </c>
      <c r="AB72" s="30" t="str">
        <f>IF('Comptage Décadaire'!AC73&lt;&gt;"",VLOOKUP('Comptage Décadaire'!AC73,'Comptage Décadaire'!AC:AC,1,FALSE),"")</f>
        <v/>
      </c>
      <c r="AC72" s="32" t="str">
        <f>IF('Comptage Décadaire'!AD73&lt;&gt;"",VLOOKUP('Comptage Décadaire'!AD73,Nomenclature!$L$2:$M$8,2,FALSE),"")</f>
        <v/>
      </c>
      <c r="AD72" s="32" t="str">
        <f>IF('Comptage Décadaire'!AE73&lt;&gt;"",VLOOKUP('Comptage Décadaire'!AE73,Utilisateurs!$D$2:$F$81,3,FALSE),"")</f>
        <v/>
      </c>
      <c r="AE72" s="35" t="str">
        <f>IF('Comptage Décadaire'!AF73&lt;&gt;"",VLOOKUP('Comptage Décadaire'!AF73,'Comptage Décadaire'!AF:AF,1,FALSE),"")</f>
        <v/>
      </c>
      <c r="AF72" s="32" t="str">
        <f>IF('Comptage Décadaire'!AG73&lt;&gt;"",VLOOKUP('Comptage Décadaire'!AG73,'Comptage Décadaire'!AG:AG,1,FALSE),"")</f>
        <v/>
      </c>
    </row>
    <row r="73" spans="1:32" x14ac:dyDescent="0.25">
      <c r="A73" s="25" t="str">
        <f>IF('Comptage Décadaire'!A74&lt;&gt;"",VLOOKUP('Comptage Décadaire'!A74,'Comptage Décadaire'!A:A,1,FALSE),"")</f>
        <v/>
      </c>
      <c r="B73" s="27" t="str">
        <f>IF('Comptage Décadaire'!B74&lt;&gt;"",VLOOKUP('Comptage Décadaire'!B74,'Comptage Décadaire'!B:B,1,FALSE),"")</f>
        <v/>
      </c>
      <c r="C73" s="28" t="str">
        <f>IF('Comptage Décadaire'!C74&lt;&gt;"",VLOOKUP('Comptage Décadaire'!C74,'Comptage Décadaire'!C:C,1,FALSE),"")</f>
        <v/>
      </c>
      <c r="D73" s="29" t="str">
        <f>IF('Comptage Décadaire'!D74&lt;&gt;"",VLOOKUP('Comptage Décadaire'!D74,Sites!$A:$B,2,FALSE),"")</f>
        <v/>
      </c>
      <c r="E73" s="29" t="str">
        <f>IF('Comptage Décadaire'!E74&lt;&gt;"",VLOOKUP('Comptage Décadaire'!E74,'Comptage Décadaire'!E:E,1,FALSE),"")</f>
        <v/>
      </c>
      <c r="F73" s="29" t="str">
        <f>IF('Comptage Décadaire'!F74&lt;&gt;"",VLOOKUP('Comptage Décadaire'!F74,Nomenclature!$B$2:$C$4,2,FALSE),"")</f>
        <v/>
      </c>
      <c r="G73" s="29" t="str">
        <f>IF('Comptage Décadaire'!G74&lt;&gt;"",VLOOKUP('Comptage Décadaire'!G74,'Comptage Décadaire'!G:G,1,FALSE),"")</f>
        <v/>
      </c>
      <c r="H73" s="29" t="str">
        <f>IF('Comptage Décadaire'!H74&lt;&gt;"",VLOOKUP('Comptage Décadaire'!H74,Nomenclature!$D$2:$E$7,2,FALSE),"")</f>
        <v/>
      </c>
      <c r="I73" s="30" t="str">
        <f>IF('Comptage Décadaire'!J74&lt;&gt;"",VLOOKUP('Comptage Décadaire'!J74,'Comptage Décadaire'!J:J,1,FALSE),"")</f>
        <v/>
      </c>
      <c r="J73" s="30" t="str">
        <f>IF('Comptage Décadaire'!K74&lt;&gt;"",VLOOKUP('Comptage Décadaire'!K74,'Comptage Décadaire'!K:K,1,FALSE),"")</f>
        <v/>
      </c>
      <c r="K73" s="30" t="str">
        <f>IF('Comptage Décadaire'!L74&lt;&gt;"",VLOOKUP('Comptage Décadaire'!L74,'Comptage Décadaire'!L:L,1,FALSE),"")</f>
        <v/>
      </c>
      <c r="L73" s="31" t="str">
        <f>IF('Comptage Décadaire'!M74&lt;&gt;"",VLOOKUP('Comptage Décadaire'!M74,'Comptage Décadaire'!M:M,1,FALSE),"")</f>
        <v/>
      </c>
      <c r="M73" s="33" t="str">
        <f>IF('Comptage Décadaire'!N74&lt;&gt;"",VLOOKUP('Comptage Décadaire'!N74,Utilisateurs!$D:$F,3,FALSE),"")</f>
        <v/>
      </c>
      <c r="N73" s="33" t="str">
        <f>IF('Comptage Décadaire'!O74&lt;&gt;"",VLOOKUP('Comptage Décadaire'!O74,Utilisateurs!$D:$F,3,FALSE),"")</f>
        <v/>
      </c>
      <c r="O73" s="33" t="str">
        <f>IF('Comptage Décadaire'!P74&lt;&gt;"",VLOOKUP('Comptage Décadaire'!P74,Utilisateurs!$D:$F,3,FALSE),"")</f>
        <v/>
      </c>
      <c r="P73" s="33" t="str">
        <f>IF('Comptage Décadaire'!Q74&lt;&gt;"",VLOOKUP('Comptage Décadaire'!Q74,Utilisateurs!$D:$F,3,FALSE),"")</f>
        <v/>
      </c>
      <c r="Q73" s="33" t="str">
        <f>IF('Comptage Décadaire'!R74&lt;&gt;"",VLOOKUP('Comptage Décadaire'!R74,Utilisateurs!$D:$F,3,FALSE),"")</f>
        <v/>
      </c>
      <c r="R73" s="30" t="str">
        <f>IF('Comptage Décadaire'!S74&lt;&gt;"",VLOOKUP('Comptage Décadaire'!S74,Nomenclature!$N:$O,2,FALSE),"")</f>
        <v/>
      </c>
      <c r="S73" s="30" t="str">
        <f>IF('Comptage Décadaire'!T74&lt;&gt;"",VLOOKUP('Comptage Décadaire'!T74,'Comptage Décadaire'!T:T,1,FALSE),"")</f>
        <v/>
      </c>
      <c r="T73" s="30" t="str">
        <f>IF('Comptage Décadaire'!U74&lt;&gt;"",VLOOKUP('Comptage Décadaire'!U74,'Comptage Décadaire'!U:U,1,FALSE),"")</f>
        <v/>
      </c>
      <c r="U73" s="30" t="str">
        <f>IF('Comptage Décadaire'!V74&lt;&gt;"",VLOOKUP('Comptage Décadaire'!V74,'Comptage Décadaire'!V:V,1,FALSE),"")</f>
        <v/>
      </c>
      <c r="V73" s="30" t="str">
        <f>IF('Comptage Décadaire'!W74&lt;&gt;"",VLOOKUP('Comptage Décadaire'!W74,'Comptage Décadaire'!W:W,1,FALSE),"")</f>
        <v/>
      </c>
      <c r="W73" s="30" t="str">
        <f>IF('Comptage Décadaire'!X74&lt;&gt;"",VLOOKUP('Comptage Décadaire'!X74,'Comptage Décadaire'!X:X,1,FALSE),"")</f>
        <v/>
      </c>
      <c r="X73" s="30" t="str">
        <f>IF('Comptage Décadaire'!Y74&lt;&gt;"",VLOOKUP('Comptage Décadaire'!Y74,'Comptage Décadaire'!Y:Y,1,FALSE),"")</f>
        <v/>
      </c>
      <c r="Y73" s="30" t="str">
        <f>IF('Comptage Décadaire'!Z74&lt;&gt;"",VLOOKUP('Comptage Décadaire'!Z74,Nomenclature!$F$2:$G$7,2,FALSE),"")</f>
        <v/>
      </c>
      <c r="Z73" s="30" t="str">
        <f>IF('Comptage Décadaire'!AA74&lt;&gt;"",VLOOKUP('Comptage Décadaire'!AA74,Nomenclature!$H$2:$I$31,2,FALSE),"")</f>
        <v/>
      </c>
      <c r="AA73" s="30" t="str">
        <f>IF('Comptage Décadaire'!AB74&lt;&gt;"",VLOOKUP('Comptage Décadaire'!AB74,Nomenclature!$J$2:$K$21,2,FALSE),"")</f>
        <v/>
      </c>
      <c r="AB73" s="30" t="str">
        <f>IF('Comptage Décadaire'!AC74&lt;&gt;"",VLOOKUP('Comptage Décadaire'!AC74,'Comptage Décadaire'!AC:AC,1,FALSE),"")</f>
        <v/>
      </c>
      <c r="AC73" s="32" t="str">
        <f>IF('Comptage Décadaire'!AD74&lt;&gt;"",VLOOKUP('Comptage Décadaire'!AD74,Nomenclature!$L$2:$M$8,2,FALSE),"")</f>
        <v/>
      </c>
      <c r="AD73" s="32" t="str">
        <f>IF('Comptage Décadaire'!AE74&lt;&gt;"",VLOOKUP('Comptage Décadaire'!AE74,Utilisateurs!$D$2:$F$81,3,FALSE),"")</f>
        <v/>
      </c>
      <c r="AE73" s="35" t="str">
        <f>IF('Comptage Décadaire'!AF74&lt;&gt;"",VLOOKUP('Comptage Décadaire'!AF74,'Comptage Décadaire'!AF:AF,1,FALSE),"")</f>
        <v/>
      </c>
      <c r="AF73" s="32" t="str">
        <f>IF('Comptage Décadaire'!AG74&lt;&gt;"",VLOOKUP('Comptage Décadaire'!AG74,'Comptage Décadaire'!AG:AG,1,FALSE),"")</f>
        <v/>
      </c>
    </row>
    <row r="74" spans="1:32" x14ac:dyDescent="0.25">
      <c r="A74" s="25" t="str">
        <f>IF('Comptage Décadaire'!A75&lt;&gt;"",VLOOKUP('Comptage Décadaire'!A75,'Comptage Décadaire'!A:A,1,FALSE),"")</f>
        <v/>
      </c>
      <c r="B74" s="27" t="str">
        <f>IF('Comptage Décadaire'!B75&lt;&gt;"",VLOOKUP('Comptage Décadaire'!B75,'Comptage Décadaire'!B:B,1,FALSE),"")</f>
        <v/>
      </c>
      <c r="C74" s="28" t="str">
        <f>IF('Comptage Décadaire'!C75&lt;&gt;"",VLOOKUP('Comptage Décadaire'!C75,'Comptage Décadaire'!C:C,1,FALSE),"")</f>
        <v/>
      </c>
      <c r="D74" s="29" t="str">
        <f>IF('Comptage Décadaire'!D75&lt;&gt;"",VLOOKUP('Comptage Décadaire'!D75,Sites!$A:$B,2,FALSE),"")</f>
        <v/>
      </c>
      <c r="E74" s="29" t="str">
        <f>IF('Comptage Décadaire'!E75&lt;&gt;"",VLOOKUP('Comptage Décadaire'!E75,'Comptage Décadaire'!E:E,1,FALSE),"")</f>
        <v/>
      </c>
      <c r="F74" s="29" t="str">
        <f>IF('Comptage Décadaire'!F75&lt;&gt;"",VLOOKUP('Comptage Décadaire'!F75,Nomenclature!$B$2:$C$4,2,FALSE),"")</f>
        <v/>
      </c>
      <c r="G74" s="29" t="str">
        <f>IF('Comptage Décadaire'!G75&lt;&gt;"",VLOOKUP('Comptage Décadaire'!G75,'Comptage Décadaire'!G:G,1,FALSE),"")</f>
        <v/>
      </c>
      <c r="H74" s="29" t="str">
        <f>IF('Comptage Décadaire'!H75&lt;&gt;"",VLOOKUP('Comptage Décadaire'!H75,Nomenclature!$D$2:$E$7,2,FALSE),"")</f>
        <v/>
      </c>
      <c r="I74" s="30" t="str">
        <f>IF('Comptage Décadaire'!J75&lt;&gt;"",VLOOKUP('Comptage Décadaire'!J75,'Comptage Décadaire'!J:J,1,FALSE),"")</f>
        <v/>
      </c>
      <c r="J74" s="30" t="str">
        <f>IF('Comptage Décadaire'!K75&lt;&gt;"",VLOOKUP('Comptage Décadaire'!K75,'Comptage Décadaire'!K:K,1,FALSE),"")</f>
        <v/>
      </c>
      <c r="K74" s="30" t="str">
        <f>IF('Comptage Décadaire'!L75&lt;&gt;"",VLOOKUP('Comptage Décadaire'!L75,'Comptage Décadaire'!L:L,1,FALSE),"")</f>
        <v/>
      </c>
      <c r="L74" s="31" t="str">
        <f>IF('Comptage Décadaire'!M75&lt;&gt;"",VLOOKUP('Comptage Décadaire'!M75,'Comptage Décadaire'!M:M,1,FALSE),"")</f>
        <v/>
      </c>
      <c r="M74" s="33" t="str">
        <f>IF('Comptage Décadaire'!N75&lt;&gt;"",VLOOKUP('Comptage Décadaire'!N75,Utilisateurs!$D:$F,3,FALSE),"")</f>
        <v/>
      </c>
      <c r="N74" s="33" t="str">
        <f>IF('Comptage Décadaire'!O75&lt;&gt;"",VLOOKUP('Comptage Décadaire'!O75,Utilisateurs!$D:$F,3,FALSE),"")</f>
        <v/>
      </c>
      <c r="O74" s="33" t="str">
        <f>IF('Comptage Décadaire'!P75&lt;&gt;"",VLOOKUP('Comptage Décadaire'!P75,Utilisateurs!$D:$F,3,FALSE),"")</f>
        <v/>
      </c>
      <c r="P74" s="33" t="str">
        <f>IF('Comptage Décadaire'!Q75&lt;&gt;"",VLOOKUP('Comptage Décadaire'!Q75,Utilisateurs!$D:$F,3,FALSE),"")</f>
        <v/>
      </c>
      <c r="Q74" s="33" t="str">
        <f>IF('Comptage Décadaire'!R75&lt;&gt;"",VLOOKUP('Comptage Décadaire'!R75,Utilisateurs!$D:$F,3,FALSE),"")</f>
        <v/>
      </c>
      <c r="R74" s="30" t="str">
        <f>IF('Comptage Décadaire'!S75&lt;&gt;"",VLOOKUP('Comptage Décadaire'!S75,Nomenclature!$N:$O,2,FALSE),"")</f>
        <v/>
      </c>
      <c r="S74" s="30" t="str">
        <f>IF('Comptage Décadaire'!T75&lt;&gt;"",VLOOKUP('Comptage Décadaire'!T75,'Comptage Décadaire'!T:T,1,FALSE),"")</f>
        <v/>
      </c>
      <c r="T74" s="30" t="str">
        <f>IF('Comptage Décadaire'!U75&lt;&gt;"",VLOOKUP('Comptage Décadaire'!U75,'Comptage Décadaire'!U:U,1,FALSE),"")</f>
        <v/>
      </c>
      <c r="U74" s="30" t="str">
        <f>IF('Comptage Décadaire'!V75&lt;&gt;"",VLOOKUP('Comptage Décadaire'!V75,'Comptage Décadaire'!V:V,1,FALSE),"")</f>
        <v/>
      </c>
      <c r="V74" s="30" t="str">
        <f>IF('Comptage Décadaire'!W75&lt;&gt;"",VLOOKUP('Comptage Décadaire'!W75,'Comptage Décadaire'!W:W,1,FALSE),"")</f>
        <v/>
      </c>
      <c r="W74" s="30" t="str">
        <f>IF('Comptage Décadaire'!X75&lt;&gt;"",VLOOKUP('Comptage Décadaire'!X75,'Comptage Décadaire'!X:X,1,FALSE),"")</f>
        <v/>
      </c>
      <c r="X74" s="30" t="str">
        <f>IF('Comptage Décadaire'!Y75&lt;&gt;"",VLOOKUP('Comptage Décadaire'!Y75,'Comptage Décadaire'!Y:Y,1,FALSE),"")</f>
        <v/>
      </c>
      <c r="Y74" s="30" t="str">
        <f>IF('Comptage Décadaire'!Z75&lt;&gt;"",VLOOKUP('Comptage Décadaire'!Z75,Nomenclature!$F$2:$G$7,2,FALSE),"")</f>
        <v/>
      </c>
      <c r="Z74" s="30" t="str">
        <f>IF('Comptage Décadaire'!AA75&lt;&gt;"",VLOOKUP('Comptage Décadaire'!AA75,Nomenclature!$H$2:$I$31,2,FALSE),"")</f>
        <v/>
      </c>
      <c r="AA74" s="30" t="str">
        <f>IF('Comptage Décadaire'!AB75&lt;&gt;"",VLOOKUP('Comptage Décadaire'!AB75,Nomenclature!$J$2:$K$21,2,FALSE),"")</f>
        <v/>
      </c>
      <c r="AB74" s="30" t="str">
        <f>IF('Comptage Décadaire'!AC75&lt;&gt;"",VLOOKUP('Comptage Décadaire'!AC75,'Comptage Décadaire'!AC:AC,1,FALSE),"")</f>
        <v/>
      </c>
      <c r="AC74" s="32" t="str">
        <f>IF('Comptage Décadaire'!AD75&lt;&gt;"",VLOOKUP('Comptage Décadaire'!AD75,Nomenclature!$L$2:$M$8,2,FALSE),"")</f>
        <v/>
      </c>
      <c r="AD74" s="32" t="str">
        <f>IF('Comptage Décadaire'!AE75&lt;&gt;"",VLOOKUP('Comptage Décadaire'!AE75,Utilisateurs!$D$2:$F$81,3,FALSE),"")</f>
        <v/>
      </c>
      <c r="AE74" s="35" t="str">
        <f>IF('Comptage Décadaire'!AF75&lt;&gt;"",VLOOKUP('Comptage Décadaire'!AF75,'Comptage Décadaire'!AF:AF,1,FALSE),"")</f>
        <v/>
      </c>
      <c r="AF74" s="32" t="str">
        <f>IF('Comptage Décadaire'!AG75&lt;&gt;"",VLOOKUP('Comptage Décadaire'!AG75,'Comptage Décadaire'!AG:AG,1,FALSE),"")</f>
        <v/>
      </c>
    </row>
    <row r="75" spans="1:32" x14ac:dyDescent="0.25">
      <c r="A75" s="25" t="str">
        <f>IF('Comptage Décadaire'!A76&lt;&gt;"",VLOOKUP('Comptage Décadaire'!A76,'Comptage Décadaire'!A:A,1,FALSE),"")</f>
        <v/>
      </c>
      <c r="B75" s="27" t="str">
        <f>IF('Comptage Décadaire'!B76&lt;&gt;"",VLOOKUP('Comptage Décadaire'!B76,'Comptage Décadaire'!B:B,1,FALSE),"")</f>
        <v/>
      </c>
      <c r="C75" s="28" t="str">
        <f>IF('Comptage Décadaire'!C76&lt;&gt;"",VLOOKUP('Comptage Décadaire'!C76,'Comptage Décadaire'!C:C,1,FALSE),"")</f>
        <v/>
      </c>
      <c r="D75" s="29" t="str">
        <f>IF('Comptage Décadaire'!D76&lt;&gt;"",VLOOKUP('Comptage Décadaire'!D76,Sites!$A:$B,2,FALSE),"")</f>
        <v/>
      </c>
      <c r="E75" s="29" t="str">
        <f>IF('Comptage Décadaire'!E76&lt;&gt;"",VLOOKUP('Comptage Décadaire'!E76,'Comptage Décadaire'!E:E,1,FALSE),"")</f>
        <v/>
      </c>
      <c r="F75" s="29" t="str">
        <f>IF('Comptage Décadaire'!F76&lt;&gt;"",VLOOKUP('Comptage Décadaire'!F76,Nomenclature!$B$2:$C$4,2,FALSE),"")</f>
        <v/>
      </c>
      <c r="G75" s="29" t="str">
        <f>IF('Comptage Décadaire'!G76&lt;&gt;"",VLOOKUP('Comptage Décadaire'!G76,'Comptage Décadaire'!G:G,1,FALSE),"")</f>
        <v/>
      </c>
      <c r="H75" s="29" t="str">
        <f>IF('Comptage Décadaire'!H76&lt;&gt;"",VLOOKUP('Comptage Décadaire'!H76,Nomenclature!$D$2:$E$7,2,FALSE),"")</f>
        <v/>
      </c>
      <c r="I75" s="30" t="str">
        <f>IF('Comptage Décadaire'!J76&lt;&gt;"",VLOOKUP('Comptage Décadaire'!J76,'Comptage Décadaire'!J:J,1,FALSE),"")</f>
        <v/>
      </c>
      <c r="J75" s="30" t="str">
        <f>IF('Comptage Décadaire'!K76&lt;&gt;"",VLOOKUP('Comptage Décadaire'!K76,'Comptage Décadaire'!K:K,1,FALSE),"")</f>
        <v/>
      </c>
      <c r="K75" s="30" t="str">
        <f>IF('Comptage Décadaire'!L76&lt;&gt;"",VLOOKUP('Comptage Décadaire'!L76,'Comptage Décadaire'!L:L,1,FALSE),"")</f>
        <v/>
      </c>
      <c r="L75" s="31" t="str">
        <f>IF('Comptage Décadaire'!M76&lt;&gt;"",VLOOKUP('Comptage Décadaire'!M76,'Comptage Décadaire'!M:M,1,FALSE),"")</f>
        <v/>
      </c>
      <c r="M75" s="33" t="str">
        <f>IF('Comptage Décadaire'!N76&lt;&gt;"",VLOOKUP('Comptage Décadaire'!N76,Utilisateurs!$D:$F,3,FALSE),"")</f>
        <v/>
      </c>
      <c r="N75" s="33" t="str">
        <f>IF('Comptage Décadaire'!O76&lt;&gt;"",VLOOKUP('Comptage Décadaire'!O76,Utilisateurs!$D:$F,3,FALSE),"")</f>
        <v/>
      </c>
      <c r="O75" s="33" t="str">
        <f>IF('Comptage Décadaire'!P76&lt;&gt;"",VLOOKUP('Comptage Décadaire'!P76,Utilisateurs!$D:$F,3,FALSE),"")</f>
        <v/>
      </c>
      <c r="P75" s="33" t="str">
        <f>IF('Comptage Décadaire'!Q76&lt;&gt;"",VLOOKUP('Comptage Décadaire'!Q76,Utilisateurs!$D:$F,3,FALSE),"")</f>
        <v/>
      </c>
      <c r="Q75" s="33" t="str">
        <f>IF('Comptage Décadaire'!R76&lt;&gt;"",VLOOKUP('Comptage Décadaire'!R76,Utilisateurs!$D:$F,3,FALSE),"")</f>
        <v/>
      </c>
      <c r="R75" s="30" t="str">
        <f>IF('Comptage Décadaire'!S76&lt;&gt;"",VLOOKUP('Comptage Décadaire'!S76,Nomenclature!$N:$O,2,FALSE),"")</f>
        <v/>
      </c>
      <c r="S75" s="30" t="str">
        <f>IF('Comptage Décadaire'!T76&lt;&gt;"",VLOOKUP('Comptage Décadaire'!T76,'Comptage Décadaire'!T:T,1,FALSE),"")</f>
        <v/>
      </c>
      <c r="T75" s="30" t="str">
        <f>IF('Comptage Décadaire'!U76&lt;&gt;"",VLOOKUP('Comptage Décadaire'!U76,'Comptage Décadaire'!U:U,1,FALSE),"")</f>
        <v/>
      </c>
      <c r="U75" s="30" t="str">
        <f>IF('Comptage Décadaire'!V76&lt;&gt;"",VLOOKUP('Comptage Décadaire'!V76,'Comptage Décadaire'!V:V,1,FALSE),"")</f>
        <v/>
      </c>
      <c r="V75" s="30" t="str">
        <f>IF('Comptage Décadaire'!W76&lt;&gt;"",VLOOKUP('Comptage Décadaire'!W76,'Comptage Décadaire'!W:W,1,FALSE),"")</f>
        <v/>
      </c>
      <c r="W75" s="30" t="str">
        <f>IF('Comptage Décadaire'!X76&lt;&gt;"",VLOOKUP('Comptage Décadaire'!X76,'Comptage Décadaire'!X:X,1,FALSE),"")</f>
        <v/>
      </c>
      <c r="X75" s="30" t="str">
        <f>IF('Comptage Décadaire'!Y76&lt;&gt;"",VLOOKUP('Comptage Décadaire'!Y76,'Comptage Décadaire'!Y:Y,1,FALSE),"")</f>
        <v/>
      </c>
      <c r="Y75" s="30" t="str">
        <f>IF('Comptage Décadaire'!Z76&lt;&gt;"",VLOOKUP('Comptage Décadaire'!Z76,Nomenclature!$F$2:$G$7,2,FALSE),"")</f>
        <v/>
      </c>
      <c r="Z75" s="30" t="str">
        <f>IF('Comptage Décadaire'!AA76&lt;&gt;"",VLOOKUP('Comptage Décadaire'!AA76,Nomenclature!$H$2:$I$31,2,FALSE),"")</f>
        <v/>
      </c>
      <c r="AA75" s="30" t="str">
        <f>IF('Comptage Décadaire'!AB76&lt;&gt;"",VLOOKUP('Comptage Décadaire'!AB76,Nomenclature!$J$2:$K$21,2,FALSE),"")</f>
        <v/>
      </c>
      <c r="AB75" s="30" t="str">
        <f>IF('Comptage Décadaire'!AC76&lt;&gt;"",VLOOKUP('Comptage Décadaire'!AC76,'Comptage Décadaire'!AC:AC,1,FALSE),"")</f>
        <v/>
      </c>
      <c r="AC75" s="32" t="str">
        <f>IF('Comptage Décadaire'!AD76&lt;&gt;"",VLOOKUP('Comptage Décadaire'!AD76,Nomenclature!$L$2:$M$8,2,FALSE),"")</f>
        <v/>
      </c>
      <c r="AD75" s="32" t="str">
        <f>IF('Comptage Décadaire'!AE76&lt;&gt;"",VLOOKUP('Comptage Décadaire'!AE76,Utilisateurs!$D$2:$F$81,3,FALSE),"")</f>
        <v/>
      </c>
      <c r="AE75" s="35" t="str">
        <f>IF('Comptage Décadaire'!AF76&lt;&gt;"",VLOOKUP('Comptage Décadaire'!AF76,'Comptage Décadaire'!AF:AF,1,FALSE),"")</f>
        <v/>
      </c>
      <c r="AF75" s="32" t="str">
        <f>IF('Comptage Décadaire'!AG76&lt;&gt;"",VLOOKUP('Comptage Décadaire'!AG76,'Comptage Décadaire'!AG:AG,1,FALSE),"")</f>
        <v/>
      </c>
    </row>
    <row r="76" spans="1:32" x14ac:dyDescent="0.25">
      <c r="A76" s="25" t="str">
        <f>IF('Comptage Décadaire'!A77&lt;&gt;"",VLOOKUP('Comptage Décadaire'!A77,'Comptage Décadaire'!A:A,1,FALSE),"")</f>
        <v/>
      </c>
      <c r="B76" s="27" t="str">
        <f>IF('Comptage Décadaire'!B77&lt;&gt;"",VLOOKUP('Comptage Décadaire'!B77,'Comptage Décadaire'!B:B,1,FALSE),"")</f>
        <v/>
      </c>
      <c r="C76" s="28" t="str">
        <f>IF('Comptage Décadaire'!C77&lt;&gt;"",VLOOKUP('Comptage Décadaire'!C77,'Comptage Décadaire'!C:C,1,FALSE),"")</f>
        <v/>
      </c>
      <c r="D76" s="29" t="str">
        <f>IF('Comptage Décadaire'!D77&lt;&gt;"",VLOOKUP('Comptage Décadaire'!D77,Sites!$A:$B,2,FALSE),"")</f>
        <v/>
      </c>
      <c r="E76" s="29" t="str">
        <f>IF('Comptage Décadaire'!E77&lt;&gt;"",VLOOKUP('Comptage Décadaire'!E77,'Comptage Décadaire'!E:E,1,FALSE),"")</f>
        <v/>
      </c>
      <c r="F76" s="29" t="str">
        <f>IF('Comptage Décadaire'!F77&lt;&gt;"",VLOOKUP('Comptage Décadaire'!F77,Nomenclature!$B$2:$C$4,2,FALSE),"")</f>
        <v/>
      </c>
      <c r="G76" s="29" t="str">
        <f>IF('Comptage Décadaire'!G77&lt;&gt;"",VLOOKUP('Comptage Décadaire'!G77,'Comptage Décadaire'!G:G,1,FALSE),"")</f>
        <v/>
      </c>
      <c r="H76" s="29" t="str">
        <f>IF('Comptage Décadaire'!H77&lt;&gt;"",VLOOKUP('Comptage Décadaire'!H77,Nomenclature!$D$2:$E$7,2,FALSE),"")</f>
        <v/>
      </c>
      <c r="I76" s="30" t="str">
        <f>IF('Comptage Décadaire'!J77&lt;&gt;"",VLOOKUP('Comptage Décadaire'!J77,'Comptage Décadaire'!J:J,1,FALSE),"")</f>
        <v/>
      </c>
      <c r="J76" s="30" t="str">
        <f>IF('Comptage Décadaire'!K77&lt;&gt;"",VLOOKUP('Comptage Décadaire'!K77,'Comptage Décadaire'!K:K,1,FALSE),"")</f>
        <v/>
      </c>
      <c r="K76" s="30" t="str">
        <f>IF('Comptage Décadaire'!L77&lt;&gt;"",VLOOKUP('Comptage Décadaire'!L77,'Comptage Décadaire'!L:L,1,FALSE),"")</f>
        <v/>
      </c>
      <c r="L76" s="31" t="str">
        <f>IF('Comptage Décadaire'!M77&lt;&gt;"",VLOOKUP('Comptage Décadaire'!M77,'Comptage Décadaire'!M:M,1,FALSE),"")</f>
        <v/>
      </c>
      <c r="M76" s="33" t="str">
        <f>IF('Comptage Décadaire'!N77&lt;&gt;"",VLOOKUP('Comptage Décadaire'!N77,Utilisateurs!$D:$F,3,FALSE),"")</f>
        <v/>
      </c>
      <c r="N76" s="33" t="str">
        <f>IF('Comptage Décadaire'!O77&lt;&gt;"",VLOOKUP('Comptage Décadaire'!O77,Utilisateurs!$D:$F,3,FALSE),"")</f>
        <v/>
      </c>
      <c r="O76" s="33" t="str">
        <f>IF('Comptage Décadaire'!P77&lt;&gt;"",VLOOKUP('Comptage Décadaire'!P77,Utilisateurs!$D:$F,3,FALSE),"")</f>
        <v/>
      </c>
      <c r="P76" s="33" t="str">
        <f>IF('Comptage Décadaire'!Q77&lt;&gt;"",VLOOKUP('Comptage Décadaire'!Q77,Utilisateurs!$D:$F,3,FALSE),"")</f>
        <v/>
      </c>
      <c r="Q76" s="33" t="str">
        <f>IF('Comptage Décadaire'!R77&lt;&gt;"",VLOOKUP('Comptage Décadaire'!R77,Utilisateurs!$D:$F,3,FALSE),"")</f>
        <v/>
      </c>
      <c r="R76" s="30" t="str">
        <f>IF('Comptage Décadaire'!S77&lt;&gt;"",VLOOKUP('Comptage Décadaire'!S77,Nomenclature!$N:$O,2,FALSE),"")</f>
        <v/>
      </c>
      <c r="S76" s="30" t="str">
        <f>IF('Comptage Décadaire'!T77&lt;&gt;"",VLOOKUP('Comptage Décadaire'!T77,'Comptage Décadaire'!T:T,1,FALSE),"")</f>
        <v/>
      </c>
      <c r="T76" s="30" t="str">
        <f>IF('Comptage Décadaire'!U77&lt;&gt;"",VLOOKUP('Comptage Décadaire'!U77,'Comptage Décadaire'!U:U,1,FALSE),"")</f>
        <v/>
      </c>
      <c r="U76" s="30" t="str">
        <f>IF('Comptage Décadaire'!V77&lt;&gt;"",VLOOKUP('Comptage Décadaire'!V77,'Comptage Décadaire'!V:V,1,FALSE),"")</f>
        <v/>
      </c>
      <c r="V76" s="30" t="str">
        <f>IF('Comptage Décadaire'!W77&lt;&gt;"",VLOOKUP('Comptage Décadaire'!W77,'Comptage Décadaire'!W:W,1,FALSE),"")</f>
        <v/>
      </c>
      <c r="W76" s="30" t="str">
        <f>IF('Comptage Décadaire'!X77&lt;&gt;"",VLOOKUP('Comptage Décadaire'!X77,'Comptage Décadaire'!X:X,1,FALSE),"")</f>
        <v/>
      </c>
      <c r="X76" s="30" t="str">
        <f>IF('Comptage Décadaire'!Y77&lt;&gt;"",VLOOKUP('Comptage Décadaire'!Y77,'Comptage Décadaire'!Y:Y,1,FALSE),"")</f>
        <v/>
      </c>
      <c r="Y76" s="30" t="str">
        <f>IF('Comptage Décadaire'!Z77&lt;&gt;"",VLOOKUP('Comptage Décadaire'!Z77,Nomenclature!$F$2:$G$7,2,FALSE),"")</f>
        <v/>
      </c>
      <c r="Z76" s="30" t="str">
        <f>IF('Comptage Décadaire'!AA77&lt;&gt;"",VLOOKUP('Comptage Décadaire'!AA77,Nomenclature!$H$2:$I$31,2,FALSE),"")</f>
        <v/>
      </c>
      <c r="AA76" s="30" t="str">
        <f>IF('Comptage Décadaire'!AB77&lt;&gt;"",VLOOKUP('Comptage Décadaire'!AB77,Nomenclature!$J$2:$K$21,2,FALSE),"")</f>
        <v/>
      </c>
      <c r="AB76" s="30" t="str">
        <f>IF('Comptage Décadaire'!AC77&lt;&gt;"",VLOOKUP('Comptage Décadaire'!AC77,'Comptage Décadaire'!AC:AC,1,FALSE),"")</f>
        <v/>
      </c>
      <c r="AC76" s="32" t="str">
        <f>IF('Comptage Décadaire'!AD77&lt;&gt;"",VLOOKUP('Comptage Décadaire'!AD77,Nomenclature!$L$2:$M$8,2,FALSE),"")</f>
        <v/>
      </c>
      <c r="AD76" s="32" t="str">
        <f>IF('Comptage Décadaire'!AE77&lt;&gt;"",VLOOKUP('Comptage Décadaire'!AE77,Utilisateurs!$D$2:$F$81,3,FALSE),"")</f>
        <v/>
      </c>
      <c r="AE76" s="35" t="str">
        <f>IF('Comptage Décadaire'!AF77&lt;&gt;"",VLOOKUP('Comptage Décadaire'!AF77,'Comptage Décadaire'!AF:AF,1,FALSE),"")</f>
        <v/>
      </c>
      <c r="AF76" s="32" t="str">
        <f>IF('Comptage Décadaire'!AG77&lt;&gt;"",VLOOKUP('Comptage Décadaire'!AG77,'Comptage Décadaire'!AG:AG,1,FALSE),"")</f>
        <v/>
      </c>
    </row>
    <row r="77" spans="1:32" x14ac:dyDescent="0.25">
      <c r="A77" s="25" t="str">
        <f>IF('Comptage Décadaire'!A78&lt;&gt;"",VLOOKUP('Comptage Décadaire'!A78,'Comptage Décadaire'!A:A,1,FALSE),"")</f>
        <v/>
      </c>
      <c r="B77" s="27" t="str">
        <f>IF('Comptage Décadaire'!B78&lt;&gt;"",VLOOKUP('Comptage Décadaire'!B78,'Comptage Décadaire'!B:B,1,FALSE),"")</f>
        <v/>
      </c>
      <c r="C77" s="28" t="str">
        <f>IF('Comptage Décadaire'!C78&lt;&gt;"",VLOOKUP('Comptage Décadaire'!C78,'Comptage Décadaire'!C:C,1,FALSE),"")</f>
        <v/>
      </c>
      <c r="D77" s="29" t="str">
        <f>IF('Comptage Décadaire'!D78&lt;&gt;"",VLOOKUP('Comptage Décadaire'!D78,Sites!$A:$B,2,FALSE),"")</f>
        <v/>
      </c>
      <c r="E77" s="29" t="str">
        <f>IF('Comptage Décadaire'!E78&lt;&gt;"",VLOOKUP('Comptage Décadaire'!E78,'Comptage Décadaire'!E:E,1,FALSE),"")</f>
        <v/>
      </c>
      <c r="F77" s="29" t="str">
        <f>IF('Comptage Décadaire'!F78&lt;&gt;"",VLOOKUP('Comptage Décadaire'!F78,Nomenclature!$B$2:$C$4,2,FALSE),"")</f>
        <v/>
      </c>
      <c r="G77" s="29" t="str">
        <f>IF('Comptage Décadaire'!G78&lt;&gt;"",VLOOKUP('Comptage Décadaire'!G78,'Comptage Décadaire'!G:G,1,FALSE),"")</f>
        <v/>
      </c>
      <c r="H77" s="29" t="str">
        <f>IF('Comptage Décadaire'!H78&lt;&gt;"",VLOOKUP('Comptage Décadaire'!H78,Nomenclature!$D$2:$E$7,2,FALSE),"")</f>
        <v/>
      </c>
      <c r="I77" s="30" t="str">
        <f>IF('Comptage Décadaire'!J78&lt;&gt;"",VLOOKUP('Comptage Décadaire'!J78,'Comptage Décadaire'!J:J,1,FALSE),"")</f>
        <v/>
      </c>
      <c r="J77" s="30" t="str">
        <f>IF('Comptage Décadaire'!K78&lt;&gt;"",VLOOKUP('Comptage Décadaire'!K78,'Comptage Décadaire'!K:K,1,FALSE),"")</f>
        <v/>
      </c>
      <c r="K77" s="30" t="str">
        <f>IF('Comptage Décadaire'!L78&lt;&gt;"",VLOOKUP('Comptage Décadaire'!L78,'Comptage Décadaire'!L:L,1,FALSE),"")</f>
        <v/>
      </c>
      <c r="L77" s="31" t="str">
        <f>IF('Comptage Décadaire'!M78&lt;&gt;"",VLOOKUP('Comptage Décadaire'!M78,'Comptage Décadaire'!M:M,1,FALSE),"")</f>
        <v/>
      </c>
      <c r="M77" s="33" t="str">
        <f>IF('Comptage Décadaire'!N78&lt;&gt;"",VLOOKUP('Comptage Décadaire'!N78,Utilisateurs!$D:$F,3,FALSE),"")</f>
        <v/>
      </c>
      <c r="N77" s="33" t="str">
        <f>IF('Comptage Décadaire'!O78&lt;&gt;"",VLOOKUP('Comptage Décadaire'!O78,Utilisateurs!$D:$F,3,FALSE),"")</f>
        <v/>
      </c>
      <c r="O77" s="33" t="str">
        <f>IF('Comptage Décadaire'!P78&lt;&gt;"",VLOOKUP('Comptage Décadaire'!P78,Utilisateurs!$D:$F,3,FALSE),"")</f>
        <v/>
      </c>
      <c r="P77" s="33" t="str">
        <f>IF('Comptage Décadaire'!Q78&lt;&gt;"",VLOOKUP('Comptage Décadaire'!Q78,Utilisateurs!$D:$F,3,FALSE),"")</f>
        <v/>
      </c>
      <c r="Q77" s="33" t="str">
        <f>IF('Comptage Décadaire'!R78&lt;&gt;"",VLOOKUP('Comptage Décadaire'!R78,Utilisateurs!$D:$F,3,FALSE),"")</f>
        <v/>
      </c>
      <c r="R77" s="30" t="str">
        <f>IF('Comptage Décadaire'!S78&lt;&gt;"",VLOOKUP('Comptage Décadaire'!S78,Nomenclature!$N:$O,2,FALSE),"")</f>
        <v/>
      </c>
      <c r="S77" s="30" t="str">
        <f>IF('Comptage Décadaire'!T78&lt;&gt;"",VLOOKUP('Comptage Décadaire'!T78,'Comptage Décadaire'!T:T,1,FALSE),"")</f>
        <v/>
      </c>
      <c r="T77" s="30" t="str">
        <f>IF('Comptage Décadaire'!U78&lt;&gt;"",VLOOKUP('Comptage Décadaire'!U78,'Comptage Décadaire'!U:U,1,FALSE),"")</f>
        <v/>
      </c>
      <c r="U77" s="30" t="str">
        <f>IF('Comptage Décadaire'!V78&lt;&gt;"",VLOOKUP('Comptage Décadaire'!V78,'Comptage Décadaire'!V:V,1,FALSE),"")</f>
        <v/>
      </c>
      <c r="V77" s="30" t="str">
        <f>IF('Comptage Décadaire'!W78&lt;&gt;"",VLOOKUP('Comptage Décadaire'!W78,'Comptage Décadaire'!W:W,1,FALSE),"")</f>
        <v/>
      </c>
      <c r="W77" s="30" t="str">
        <f>IF('Comptage Décadaire'!X78&lt;&gt;"",VLOOKUP('Comptage Décadaire'!X78,'Comptage Décadaire'!X:X,1,FALSE),"")</f>
        <v/>
      </c>
      <c r="X77" s="30" t="str">
        <f>IF('Comptage Décadaire'!Y78&lt;&gt;"",VLOOKUP('Comptage Décadaire'!Y78,'Comptage Décadaire'!Y:Y,1,FALSE),"")</f>
        <v/>
      </c>
      <c r="Y77" s="30" t="str">
        <f>IF('Comptage Décadaire'!Z78&lt;&gt;"",VLOOKUP('Comptage Décadaire'!Z78,Nomenclature!$F$2:$G$7,2,FALSE),"")</f>
        <v/>
      </c>
      <c r="Z77" s="30" t="str">
        <f>IF('Comptage Décadaire'!AA78&lt;&gt;"",VLOOKUP('Comptage Décadaire'!AA78,Nomenclature!$H$2:$I$31,2,FALSE),"")</f>
        <v/>
      </c>
      <c r="AA77" s="30" t="str">
        <f>IF('Comptage Décadaire'!AB78&lt;&gt;"",VLOOKUP('Comptage Décadaire'!AB78,Nomenclature!$J$2:$K$21,2,FALSE),"")</f>
        <v/>
      </c>
      <c r="AB77" s="30" t="str">
        <f>IF('Comptage Décadaire'!AC78&lt;&gt;"",VLOOKUP('Comptage Décadaire'!AC78,'Comptage Décadaire'!AC:AC,1,FALSE),"")</f>
        <v/>
      </c>
      <c r="AC77" s="32" t="str">
        <f>IF('Comptage Décadaire'!AD78&lt;&gt;"",VLOOKUP('Comptage Décadaire'!AD78,Nomenclature!$L$2:$M$8,2,FALSE),"")</f>
        <v/>
      </c>
      <c r="AD77" s="32" t="str">
        <f>IF('Comptage Décadaire'!AE78&lt;&gt;"",VLOOKUP('Comptage Décadaire'!AE78,Utilisateurs!$D$2:$F$81,3,FALSE),"")</f>
        <v/>
      </c>
      <c r="AE77" s="35" t="str">
        <f>IF('Comptage Décadaire'!AF78&lt;&gt;"",VLOOKUP('Comptage Décadaire'!AF78,'Comptage Décadaire'!AF:AF,1,FALSE),"")</f>
        <v/>
      </c>
      <c r="AF77" s="32" t="str">
        <f>IF('Comptage Décadaire'!AG78&lt;&gt;"",VLOOKUP('Comptage Décadaire'!AG78,'Comptage Décadaire'!AG:AG,1,FALSE),"")</f>
        <v/>
      </c>
    </row>
    <row r="78" spans="1:32" x14ac:dyDescent="0.25">
      <c r="A78" s="25" t="str">
        <f>IF('Comptage Décadaire'!A79&lt;&gt;"",VLOOKUP('Comptage Décadaire'!A79,'Comptage Décadaire'!A:A,1,FALSE),"")</f>
        <v/>
      </c>
      <c r="B78" s="27" t="str">
        <f>IF('Comptage Décadaire'!B79&lt;&gt;"",VLOOKUP('Comptage Décadaire'!B79,'Comptage Décadaire'!B:B,1,FALSE),"")</f>
        <v/>
      </c>
      <c r="C78" s="28" t="str">
        <f>IF('Comptage Décadaire'!C79&lt;&gt;"",VLOOKUP('Comptage Décadaire'!C79,'Comptage Décadaire'!C:C,1,FALSE),"")</f>
        <v/>
      </c>
      <c r="D78" s="29" t="str">
        <f>IF('Comptage Décadaire'!D79&lt;&gt;"",VLOOKUP('Comptage Décadaire'!D79,Sites!$A:$B,2,FALSE),"")</f>
        <v/>
      </c>
      <c r="E78" s="29" t="str">
        <f>IF('Comptage Décadaire'!E79&lt;&gt;"",VLOOKUP('Comptage Décadaire'!E79,'Comptage Décadaire'!E:E,1,FALSE),"")</f>
        <v/>
      </c>
      <c r="F78" s="29" t="str">
        <f>IF('Comptage Décadaire'!F79&lt;&gt;"",VLOOKUP('Comptage Décadaire'!F79,Nomenclature!$B$2:$C$4,2,FALSE),"")</f>
        <v/>
      </c>
      <c r="G78" s="29" t="str">
        <f>IF('Comptage Décadaire'!G79&lt;&gt;"",VLOOKUP('Comptage Décadaire'!G79,'Comptage Décadaire'!G:G,1,FALSE),"")</f>
        <v/>
      </c>
      <c r="H78" s="29" t="str">
        <f>IF('Comptage Décadaire'!H79&lt;&gt;"",VLOOKUP('Comptage Décadaire'!H79,Nomenclature!$D$2:$E$7,2,FALSE),"")</f>
        <v/>
      </c>
      <c r="I78" s="30" t="str">
        <f>IF('Comptage Décadaire'!J79&lt;&gt;"",VLOOKUP('Comptage Décadaire'!J79,'Comptage Décadaire'!J:J,1,FALSE),"")</f>
        <v/>
      </c>
      <c r="J78" s="30" t="str">
        <f>IF('Comptage Décadaire'!K79&lt;&gt;"",VLOOKUP('Comptage Décadaire'!K79,'Comptage Décadaire'!K:K,1,FALSE),"")</f>
        <v/>
      </c>
      <c r="K78" s="30" t="str">
        <f>IF('Comptage Décadaire'!L79&lt;&gt;"",VLOOKUP('Comptage Décadaire'!L79,'Comptage Décadaire'!L:L,1,FALSE),"")</f>
        <v/>
      </c>
      <c r="L78" s="31" t="str">
        <f>IF('Comptage Décadaire'!M79&lt;&gt;"",VLOOKUP('Comptage Décadaire'!M79,'Comptage Décadaire'!M:M,1,FALSE),"")</f>
        <v/>
      </c>
      <c r="M78" s="33" t="str">
        <f>IF('Comptage Décadaire'!N79&lt;&gt;"",VLOOKUP('Comptage Décadaire'!N79,Utilisateurs!$D:$F,3,FALSE),"")</f>
        <v/>
      </c>
      <c r="N78" s="33" t="str">
        <f>IF('Comptage Décadaire'!O79&lt;&gt;"",VLOOKUP('Comptage Décadaire'!O79,Utilisateurs!$D:$F,3,FALSE),"")</f>
        <v/>
      </c>
      <c r="O78" s="33" t="str">
        <f>IF('Comptage Décadaire'!P79&lt;&gt;"",VLOOKUP('Comptage Décadaire'!P79,Utilisateurs!$D:$F,3,FALSE),"")</f>
        <v/>
      </c>
      <c r="P78" s="33" t="str">
        <f>IF('Comptage Décadaire'!Q79&lt;&gt;"",VLOOKUP('Comptage Décadaire'!Q79,Utilisateurs!$D:$F,3,FALSE),"")</f>
        <v/>
      </c>
      <c r="Q78" s="33" t="str">
        <f>IF('Comptage Décadaire'!R79&lt;&gt;"",VLOOKUP('Comptage Décadaire'!R79,Utilisateurs!$D:$F,3,FALSE),"")</f>
        <v/>
      </c>
      <c r="R78" s="30" t="str">
        <f>IF('Comptage Décadaire'!S79&lt;&gt;"",VLOOKUP('Comptage Décadaire'!S79,Nomenclature!$N:$O,2,FALSE),"")</f>
        <v/>
      </c>
      <c r="S78" s="30" t="str">
        <f>IF('Comptage Décadaire'!T79&lt;&gt;"",VLOOKUP('Comptage Décadaire'!T79,'Comptage Décadaire'!T:T,1,FALSE),"")</f>
        <v/>
      </c>
      <c r="T78" s="30" t="str">
        <f>IF('Comptage Décadaire'!U79&lt;&gt;"",VLOOKUP('Comptage Décadaire'!U79,'Comptage Décadaire'!U:U,1,FALSE),"")</f>
        <v/>
      </c>
      <c r="U78" s="30" t="str">
        <f>IF('Comptage Décadaire'!V79&lt;&gt;"",VLOOKUP('Comptage Décadaire'!V79,'Comptage Décadaire'!V:V,1,FALSE),"")</f>
        <v/>
      </c>
      <c r="V78" s="30" t="str">
        <f>IF('Comptage Décadaire'!W79&lt;&gt;"",VLOOKUP('Comptage Décadaire'!W79,'Comptage Décadaire'!W:W,1,FALSE),"")</f>
        <v/>
      </c>
      <c r="W78" s="30" t="str">
        <f>IF('Comptage Décadaire'!X79&lt;&gt;"",VLOOKUP('Comptage Décadaire'!X79,'Comptage Décadaire'!X:X,1,FALSE),"")</f>
        <v/>
      </c>
      <c r="X78" s="30" t="str">
        <f>IF('Comptage Décadaire'!Y79&lt;&gt;"",VLOOKUP('Comptage Décadaire'!Y79,'Comptage Décadaire'!Y:Y,1,FALSE),"")</f>
        <v/>
      </c>
      <c r="Y78" s="30" t="str">
        <f>IF('Comptage Décadaire'!Z79&lt;&gt;"",VLOOKUP('Comptage Décadaire'!Z79,Nomenclature!$F$2:$G$7,2,FALSE),"")</f>
        <v/>
      </c>
      <c r="Z78" s="30" t="str">
        <f>IF('Comptage Décadaire'!AA79&lt;&gt;"",VLOOKUP('Comptage Décadaire'!AA79,Nomenclature!$H$2:$I$31,2,FALSE),"")</f>
        <v/>
      </c>
      <c r="AA78" s="30" t="str">
        <f>IF('Comptage Décadaire'!AB79&lt;&gt;"",VLOOKUP('Comptage Décadaire'!AB79,Nomenclature!$J$2:$K$21,2,FALSE),"")</f>
        <v/>
      </c>
      <c r="AB78" s="30" t="str">
        <f>IF('Comptage Décadaire'!AC79&lt;&gt;"",VLOOKUP('Comptage Décadaire'!AC79,'Comptage Décadaire'!AC:AC,1,FALSE),"")</f>
        <v/>
      </c>
      <c r="AC78" s="32" t="str">
        <f>IF('Comptage Décadaire'!AD79&lt;&gt;"",VLOOKUP('Comptage Décadaire'!AD79,Nomenclature!$L$2:$M$8,2,FALSE),"")</f>
        <v/>
      </c>
      <c r="AD78" s="32" t="str">
        <f>IF('Comptage Décadaire'!AE79&lt;&gt;"",VLOOKUP('Comptage Décadaire'!AE79,Utilisateurs!$D$2:$F$81,3,FALSE),"")</f>
        <v/>
      </c>
      <c r="AE78" s="35" t="str">
        <f>IF('Comptage Décadaire'!AF79&lt;&gt;"",VLOOKUP('Comptage Décadaire'!AF79,'Comptage Décadaire'!AF:AF,1,FALSE),"")</f>
        <v/>
      </c>
      <c r="AF78" s="32" t="str">
        <f>IF('Comptage Décadaire'!AG79&lt;&gt;"",VLOOKUP('Comptage Décadaire'!AG79,'Comptage Décadaire'!AG:AG,1,FALSE),"")</f>
        <v/>
      </c>
    </row>
    <row r="79" spans="1:32" x14ac:dyDescent="0.25">
      <c r="A79" s="25" t="str">
        <f>IF('Comptage Décadaire'!A80&lt;&gt;"",VLOOKUP('Comptage Décadaire'!A80,'Comptage Décadaire'!A:A,1,FALSE),"")</f>
        <v/>
      </c>
      <c r="B79" s="27" t="str">
        <f>IF('Comptage Décadaire'!B80&lt;&gt;"",VLOOKUP('Comptage Décadaire'!B80,'Comptage Décadaire'!B:B,1,FALSE),"")</f>
        <v/>
      </c>
      <c r="C79" s="28" t="str">
        <f>IF('Comptage Décadaire'!C80&lt;&gt;"",VLOOKUP('Comptage Décadaire'!C80,'Comptage Décadaire'!C:C,1,FALSE),"")</f>
        <v/>
      </c>
      <c r="D79" s="29" t="str">
        <f>IF('Comptage Décadaire'!D80&lt;&gt;"",VLOOKUP('Comptage Décadaire'!D80,Sites!$A:$B,2,FALSE),"")</f>
        <v/>
      </c>
      <c r="E79" s="29" t="str">
        <f>IF('Comptage Décadaire'!E80&lt;&gt;"",VLOOKUP('Comptage Décadaire'!E80,'Comptage Décadaire'!E:E,1,FALSE),"")</f>
        <v/>
      </c>
      <c r="F79" s="29" t="str">
        <f>IF('Comptage Décadaire'!F80&lt;&gt;"",VLOOKUP('Comptage Décadaire'!F80,Nomenclature!$B$2:$C$4,2,FALSE),"")</f>
        <v/>
      </c>
      <c r="G79" s="29" t="str">
        <f>IF('Comptage Décadaire'!G80&lt;&gt;"",VLOOKUP('Comptage Décadaire'!G80,'Comptage Décadaire'!G:G,1,FALSE),"")</f>
        <v/>
      </c>
      <c r="H79" s="29" t="str">
        <f>IF('Comptage Décadaire'!H80&lt;&gt;"",VLOOKUP('Comptage Décadaire'!H80,Nomenclature!$D$2:$E$7,2,FALSE),"")</f>
        <v/>
      </c>
      <c r="I79" s="30" t="str">
        <f>IF('Comptage Décadaire'!J80&lt;&gt;"",VLOOKUP('Comptage Décadaire'!J80,'Comptage Décadaire'!J:J,1,FALSE),"")</f>
        <v/>
      </c>
      <c r="J79" s="30" t="str">
        <f>IF('Comptage Décadaire'!K80&lt;&gt;"",VLOOKUP('Comptage Décadaire'!K80,'Comptage Décadaire'!K:K,1,FALSE),"")</f>
        <v/>
      </c>
      <c r="K79" s="30" t="str">
        <f>IF('Comptage Décadaire'!L80&lt;&gt;"",VLOOKUP('Comptage Décadaire'!L80,'Comptage Décadaire'!L:L,1,FALSE),"")</f>
        <v/>
      </c>
      <c r="L79" s="31" t="str">
        <f>IF('Comptage Décadaire'!M80&lt;&gt;"",VLOOKUP('Comptage Décadaire'!M80,'Comptage Décadaire'!M:M,1,FALSE),"")</f>
        <v/>
      </c>
      <c r="M79" s="33" t="str">
        <f>IF('Comptage Décadaire'!N80&lt;&gt;"",VLOOKUP('Comptage Décadaire'!N80,Utilisateurs!$D:$F,3,FALSE),"")</f>
        <v/>
      </c>
      <c r="N79" s="33" t="str">
        <f>IF('Comptage Décadaire'!O80&lt;&gt;"",VLOOKUP('Comptage Décadaire'!O80,Utilisateurs!$D:$F,3,FALSE),"")</f>
        <v/>
      </c>
      <c r="O79" s="33" t="str">
        <f>IF('Comptage Décadaire'!P80&lt;&gt;"",VLOOKUP('Comptage Décadaire'!P80,Utilisateurs!$D:$F,3,FALSE),"")</f>
        <v/>
      </c>
      <c r="P79" s="33" t="str">
        <f>IF('Comptage Décadaire'!Q80&lt;&gt;"",VLOOKUP('Comptage Décadaire'!Q80,Utilisateurs!$D:$F,3,FALSE),"")</f>
        <v/>
      </c>
      <c r="Q79" s="33" t="str">
        <f>IF('Comptage Décadaire'!R80&lt;&gt;"",VLOOKUP('Comptage Décadaire'!R80,Utilisateurs!$D:$F,3,FALSE),"")</f>
        <v/>
      </c>
      <c r="R79" s="30" t="str">
        <f>IF('Comptage Décadaire'!S80&lt;&gt;"",VLOOKUP('Comptage Décadaire'!S80,Nomenclature!$N:$O,2,FALSE),"")</f>
        <v/>
      </c>
      <c r="S79" s="30" t="str">
        <f>IF('Comptage Décadaire'!T80&lt;&gt;"",VLOOKUP('Comptage Décadaire'!T80,'Comptage Décadaire'!T:T,1,FALSE),"")</f>
        <v/>
      </c>
      <c r="T79" s="30" t="str">
        <f>IF('Comptage Décadaire'!U80&lt;&gt;"",VLOOKUP('Comptage Décadaire'!U80,'Comptage Décadaire'!U:U,1,FALSE),"")</f>
        <v/>
      </c>
      <c r="U79" s="30" t="str">
        <f>IF('Comptage Décadaire'!V80&lt;&gt;"",VLOOKUP('Comptage Décadaire'!V80,'Comptage Décadaire'!V:V,1,FALSE),"")</f>
        <v/>
      </c>
      <c r="V79" s="30" t="str">
        <f>IF('Comptage Décadaire'!W80&lt;&gt;"",VLOOKUP('Comptage Décadaire'!W80,'Comptage Décadaire'!W:W,1,FALSE),"")</f>
        <v/>
      </c>
      <c r="W79" s="30" t="str">
        <f>IF('Comptage Décadaire'!X80&lt;&gt;"",VLOOKUP('Comptage Décadaire'!X80,'Comptage Décadaire'!X:X,1,FALSE),"")</f>
        <v/>
      </c>
      <c r="X79" s="30" t="str">
        <f>IF('Comptage Décadaire'!Y80&lt;&gt;"",VLOOKUP('Comptage Décadaire'!Y80,'Comptage Décadaire'!Y:Y,1,FALSE),"")</f>
        <v/>
      </c>
      <c r="Y79" s="30" t="str">
        <f>IF('Comptage Décadaire'!Z80&lt;&gt;"",VLOOKUP('Comptage Décadaire'!Z80,Nomenclature!$F$2:$G$7,2,FALSE),"")</f>
        <v/>
      </c>
      <c r="Z79" s="30" t="str">
        <f>IF('Comptage Décadaire'!AA80&lt;&gt;"",VLOOKUP('Comptage Décadaire'!AA80,Nomenclature!$H$2:$I$31,2,FALSE),"")</f>
        <v/>
      </c>
      <c r="AA79" s="30" t="str">
        <f>IF('Comptage Décadaire'!AB80&lt;&gt;"",VLOOKUP('Comptage Décadaire'!AB80,Nomenclature!$J$2:$K$21,2,FALSE),"")</f>
        <v/>
      </c>
      <c r="AB79" s="30" t="str">
        <f>IF('Comptage Décadaire'!AC80&lt;&gt;"",VLOOKUP('Comptage Décadaire'!AC80,'Comptage Décadaire'!AC:AC,1,FALSE),"")</f>
        <v/>
      </c>
      <c r="AC79" s="32" t="str">
        <f>IF('Comptage Décadaire'!AD80&lt;&gt;"",VLOOKUP('Comptage Décadaire'!AD80,Nomenclature!$L$2:$M$8,2,FALSE),"")</f>
        <v/>
      </c>
      <c r="AD79" s="32" t="str">
        <f>IF('Comptage Décadaire'!AE80&lt;&gt;"",VLOOKUP('Comptage Décadaire'!AE80,Utilisateurs!$D$2:$F$81,3,FALSE),"")</f>
        <v/>
      </c>
      <c r="AE79" s="35" t="str">
        <f>IF('Comptage Décadaire'!AF80&lt;&gt;"",VLOOKUP('Comptage Décadaire'!AF80,'Comptage Décadaire'!AF:AF,1,FALSE),"")</f>
        <v/>
      </c>
      <c r="AF79" s="32" t="str">
        <f>IF('Comptage Décadaire'!AG80&lt;&gt;"",VLOOKUP('Comptage Décadaire'!AG80,'Comptage Décadaire'!AG:AG,1,FALSE),"")</f>
        <v/>
      </c>
    </row>
    <row r="80" spans="1:32" x14ac:dyDescent="0.25">
      <c r="A80" s="25" t="str">
        <f>IF('Comptage Décadaire'!A81&lt;&gt;"",VLOOKUP('Comptage Décadaire'!A81,'Comptage Décadaire'!A:A,1,FALSE),"")</f>
        <v/>
      </c>
      <c r="B80" s="27" t="str">
        <f>IF('Comptage Décadaire'!B81&lt;&gt;"",VLOOKUP('Comptage Décadaire'!B81,'Comptage Décadaire'!B:B,1,FALSE),"")</f>
        <v/>
      </c>
      <c r="C80" s="28" t="str">
        <f>IF('Comptage Décadaire'!C81&lt;&gt;"",VLOOKUP('Comptage Décadaire'!C81,'Comptage Décadaire'!C:C,1,FALSE),"")</f>
        <v/>
      </c>
      <c r="D80" s="29" t="str">
        <f>IF('Comptage Décadaire'!D81&lt;&gt;"",VLOOKUP('Comptage Décadaire'!D81,Sites!$A:$B,2,FALSE),"")</f>
        <v/>
      </c>
      <c r="E80" s="29" t="str">
        <f>IF('Comptage Décadaire'!E81&lt;&gt;"",VLOOKUP('Comptage Décadaire'!E81,'Comptage Décadaire'!E:E,1,FALSE),"")</f>
        <v/>
      </c>
      <c r="F80" s="29" t="str">
        <f>IF('Comptage Décadaire'!F81&lt;&gt;"",VLOOKUP('Comptage Décadaire'!F81,Nomenclature!$B$2:$C$4,2,FALSE),"")</f>
        <v/>
      </c>
      <c r="G80" s="29" t="str">
        <f>IF('Comptage Décadaire'!G81&lt;&gt;"",VLOOKUP('Comptage Décadaire'!G81,'Comptage Décadaire'!G:G,1,FALSE),"")</f>
        <v/>
      </c>
      <c r="H80" s="29" t="str">
        <f>IF('Comptage Décadaire'!H81&lt;&gt;"",VLOOKUP('Comptage Décadaire'!H81,Nomenclature!$D$2:$E$7,2,FALSE),"")</f>
        <v/>
      </c>
      <c r="I80" s="30" t="str">
        <f>IF('Comptage Décadaire'!J81&lt;&gt;"",VLOOKUP('Comptage Décadaire'!J81,'Comptage Décadaire'!J:J,1,FALSE),"")</f>
        <v/>
      </c>
      <c r="J80" s="30" t="str">
        <f>IF('Comptage Décadaire'!K81&lt;&gt;"",VLOOKUP('Comptage Décadaire'!K81,'Comptage Décadaire'!K:K,1,FALSE),"")</f>
        <v/>
      </c>
      <c r="K80" s="30" t="str">
        <f>IF('Comptage Décadaire'!L81&lt;&gt;"",VLOOKUP('Comptage Décadaire'!L81,'Comptage Décadaire'!L:L,1,FALSE),"")</f>
        <v/>
      </c>
      <c r="L80" s="31" t="str">
        <f>IF('Comptage Décadaire'!M81&lt;&gt;"",VLOOKUP('Comptage Décadaire'!M81,'Comptage Décadaire'!M:M,1,FALSE),"")</f>
        <v/>
      </c>
      <c r="M80" s="33" t="str">
        <f>IF('Comptage Décadaire'!N81&lt;&gt;"",VLOOKUP('Comptage Décadaire'!N81,Utilisateurs!$D:$F,3,FALSE),"")</f>
        <v/>
      </c>
      <c r="N80" s="33" t="str">
        <f>IF('Comptage Décadaire'!O81&lt;&gt;"",VLOOKUP('Comptage Décadaire'!O81,Utilisateurs!$D:$F,3,FALSE),"")</f>
        <v/>
      </c>
      <c r="O80" s="33" t="str">
        <f>IF('Comptage Décadaire'!P81&lt;&gt;"",VLOOKUP('Comptage Décadaire'!P81,Utilisateurs!$D:$F,3,FALSE),"")</f>
        <v/>
      </c>
      <c r="P80" s="33" t="str">
        <f>IF('Comptage Décadaire'!Q81&lt;&gt;"",VLOOKUP('Comptage Décadaire'!Q81,Utilisateurs!$D:$F,3,FALSE),"")</f>
        <v/>
      </c>
      <c r="Q80" s="33" t="str">
        <f>IF('Comptage Décadaire'!R81&lt;&gt;"",VLOOKUP('Comptage Décadaire'!R81,Utilisateurs!$D:$F,3,FALSE),"")</f>
        <v/>
      </c>
      <c r="R80" s="30" t="str">
        <f>IF('Comptage Décadaire'!S81&lt;&gt;"",VLOOKUP('Comptage Décadaire'!S81,Nomenclature!$N:$O,2,FALSE),"")</f>
        <v/>
      </c>
      <c r="S80" s="30" t="str">
        <f>IF('Comptage Décadaire'!T81&lt;&gt;"",VLOOKUP('Comptage Décadaire'!T81,'Comptage Décadaire'!T:T,1,FALSE),"")</f>
        <v/>
      </c>
      <c r="T80" s="30" t="str">
        <f>IF('Comptage Décadaire'!U81&lt;&gt;"",VLOOKUP('Comptage Décadaire'!U81,'Comptage Décadaire'!U:U,1,FALSE),"")</f>
        <v/>
      </c>
      <c r="U80" s="30" t="str">
        <f>IF('Comptage Décadaire'!V81&lt;&gt;"",VLOOKUP('Comptage Décadaire'!V81,'Comptage Décadaire'!V:V,1,FALSE),"")</f>
        <v/>
      </c>
      <c r="V80" s="30" t="str">
        <f>IF('Comptage Décadaire'!W81&lt;&gt;"",VLOOKUP('Comptage Décadaire'!W81,'Comptage Décadaire'!W:W,1,FALSE),"")</f>
        <v/>
      </c>
      <c r="W80" s="30" t="str">
        <f>IF('Comptage Décadaire'!X81&lt;&gt;"",VLOOKUP('Comptage Décadaire'!X81,'Comptage Décadaire'!X:X,1,FALSE),"")</f>
        <v/>
      </c>
      <c r="X80" s="30" t="str">
        <f>IF('Comptage Décadaire'!Y81&lt;&gt;"",VLOOKUP('Comptage Décadaire'!Y81,'Comptage Décadaire'!Y:Y,1,FALSE),"")</f>
        <v/>
      </c>
      <c r="Y80" s="30" t="str">
        <f>IF('Comptage Décadaire'!Z81&lt;&gt;"",VLOOKUP('Comptage Décadaire'!Z81,Nomenclature!$F$2:$G$7,2,FALSE),"")</f>
        <v/>
      </c>
      <c r="Z80" s="30" t="str">
        <f>IF('Comptage Décadaire'!AA81&lt;&gt;"",VLOOKUP('Comptage Décadaire'!AA81,Nomenclature!$H$2:$I$31,2,FALSE),"")</f>
        <v/>
      </c>
      <c r="AA80" s="30" t="str">
        <f>IF('Comptage Décadaire'!AB81&lt;&gt;"",VLOOKUP('Comptage Décadaire'!AB81,Nomenclature!$J$2:$K$21,2,FALSE),"")</f>
        <v/>
      </c>
      <c r="AB80" s="30" t="str">
        <f>IF('Comptage Décadaire'!AC81&lt;&gt;"",VLOOKUP('Comptage Décadaire'!AC81,'Comptage Décadaire'!AC:AC,1,FALSE),"")</f>
        <v/>
      </c>
      <c r="AC80" s="32" t="str">
        <f>IF('Comptage Décadaire'!AD81&lt;&gt;"",VLOOKUP('Comptage Décadaire'!AD81,Nomenclature!$L$2:$M$8,2,FALSE),"")</f>
        <v/>
      </c>
      <c r="AD80" s="32" t="str">
        <f>IF('Comptage Décadaire'!AE81&lt;&gt;"",VLOOKUP('Comptage Décadaire'!AE81,Utilisateurs!$D$2:$F$81,3,FALSE),"")</f>
        <v/>
      </c>
      <c r="AE80" s="35" t="str">
        <f>IF('Comptage Décadaire'!AF81&lt;&gt;"",VLOOKUP('Comptage Décadaire'!AF81,'Comptage Décadaire'!AF:AF,1,FALSE),"")</f>
        <v/>
      </c>
      <c r="AF80" s="32" t="str">
        <f>IF('Comptage Décadaire'!AG81&lt;&gt;"",VLOOKUP('Comptage Décadaire'!AG81,'Comptage Décadaire'!AG:AG,1,FALSE),"")</f>
        <v/>
      </c>
    </row>
    <row r="81" spans="1:32" x14ac:dyDescent="0.25">
      <c r="A81" s="25" t="str">
        <f>IF('Comptage Décadaire'!A82&lt;&gt;"",VLOOKUP('Comptage Décadaire'!A82,'Comptage Décadaire'!A:A,1,FALSE),"")</f>
        <v/>
      </c>
      <c r="B81" s="27" t="str">
        <f>IF('Comptage Décadaire'!B82&lt;&gt;"",VLOOKUP('Comptage Décadaire'!B82,'Comptage Décadaire'!B:B,1,FALSE),"")</f>
        <v/>
      </c>
      <c r="C81" s="28" t="str">
        <f>IF('Comptage Décadaire'!C82&lt;&gt;"",VLOOKUP('Comptage Décadaire'!C82,'Comptage Décadaire'!C:C,1,FALSE),"")</f>
        <v/>
      </c>
      <c r="D81" s="29" t="str">
        <f>IF('Comptage Décadaire'!D82&lt;&gt;"",VLOOKUP('Comptage Décadaire'!D82,Sites!$A:$B,2,FALSE),"")</f>
        <v/>
      </c>
      <c r="E81" s="29" t="str">
        <f>IF('Comptage Décadaire'!E82&lt;&gt;"",VLOOKUP('Comptage Décadaire'!E82,'Comptage Décadaire'!E:E,1,FALSE),"")</f>
        <v/>
      </c>
      <c r="F81" s="29" t="str">
        <f>IF('Comptage Décadaire'!F82&lt;&gt;"",VLOOKUP('Comptage Décadaire'!F82,Nomenclature!$B$2:$C$4,2,FALSE),"")</f>
        <v/>
      </c>
      <c r="G81" s="29" t="str">
        <f>IF('Comptage Décadaire'!G82&lt;&gt;"",VLOOKUP('Comptage Décadaire'!G82,'Comptage Décadaire'!G:G,1,FALSE),"")</f>
        <v/>
      </c>
      <c r="H81" s="29" t="str">
        <f>IF('Comptage Décadaire'!H82&lt;&gt;"",VLOOKUP('Comptage Décadaire'!H82,Nomenclature!$D$2:$E$7,2,FALSE),"")</f>
        <v/>
      </c>
      <c r="I81" s="30" t="str">
        <f>IF('Comptage Décadaire'!J82&lt;&gt;"",VLOOKUP('Comptage Décadaire'!J82,'Comptage Décadaire'!J:J,1,FALSE),"")</f>
        <v/>
      </c>
      <c r="J81" s="30" t="str">
        <f>IF('Comptage Décadaire'!K82&lt;&gt;"",VLOOKUP('Comptage Décadaire'!K82,'Comptage Décadaire'!K:K,1,FALSE),"")</f>
        <v/>
      </c>
      <c r="K81" s="30" t="str">
        <f>IF('Comptage Décadaire'!L82&lt;&gt;"",VLOOKUP('Comptage Décadaire'!L82,'Comptage Décadaire'!L:L,1,FALSE),"")</f>
        <v/>
      </c>
      <c r="L81" s="31" t="str">
        <f>IF('Comptage Décadaire'!M82&lt;&gt;"",VLOOKUP('Comptage Décadaire'!M82,'Comptage Décadaire'!M:M,1,FALSE),"")</f>
        <v/>
      </c>
      <c r="M81" s="33" t="str">
        <f>IF('Comptage Décadaire'!N82&lt;&gt;"",VLOOKUP('Comptage Décadaire'!N82,Utilisateurs!$D:$F,3,FALSE),"")</f>
        <v/>
      </c>
      <c r="N81" s="33" t="str">
        <f>IF('Comptage Décadaire'!O82&lt;&gt;"",VLOOKUP('Comptage Décadaire'!O82,Utilisateurs!$D:$F,3,FALSE),"")</f>
        <v/>
      </c>
      <c r="O81" s="33" t="str">
        <f>IF('Comptage Décadaire'!P82&lt;&gt;"",VLOOKUP('Comptage Décadaire'!P82,Utilisateurs!$D:$F,3,FALSE),"")</f>
        <v/>
      </c>
      <c r="P81" s="33" t="str">
        <f>IF('Comptage Décadaire'!Q82&lt;&gt;"",VLOOKUP('Comptage Décadaire'!Q82,Utilisateurs!$D:$F,3,FALSE),"")</f>
        <v/>
      </c>
      <c r="Q81" s="33" t="str">
        <f>IF('Comptage Décadaire'!R82&lt;&gt;"",VLOOKUP('Comptage Décadaire'!R82,Utilisateurs!$D:$F,3,FALSE),"")</f>
        <v/>
      </c>
      <c r="R81" s="30" t="str">
        <f>IF('Comptage Décadaire'!S82&lt;&gt;"",VLOOKUP('Comptage Décadaire'!S82,Nomenclature!$N:$O,2,FALSE),"")</f>
        <v/>
      </c>
      <c r="S81" s="30" t="str">
        <f>IF('Comptage Décadaire'!T82&lt;&gt;"",VLOOKUP('Comptage Décadaire'!T82,'Comptage Décadaire'!T:T,1,FALSE),"")</f>
        <v/>
      </c>
      <c r="T81" s="30" t="str">
        <f>IF('Comptage Décadaire'!U82&lt;&gt;"",VLOOKUP('Comptage Décadaire'!U82,'Comptage Décadaire'!U:U,1,FALSE),"")</f>
        <v/>
      </c>
      <c r="U81" s="30" t="str">
        <f>IF('Comptage Décadaire'!V82&lt;&gt;"",VLOOKUP('Comptage Décadaire'!V82,'Comptage Décadaire'!V:V,1,FALSE),"")</f>
        <v/>
      </c>
      <c r="V81" s="30" t="str">
        <f>IF('Comptage Décadaire'!W82&lt;&gt;"",VLOOKUP('Comptage Décadaire'!W82,'Comptage Décadaire'!W:W,1,FALSE),"")</f>
        <v/>
      </c>
      <c r="W81" s="30" t="str">
        <f>IF('Comptage Décadaire'!X82&lt;&gt;"",VLOOKUP('Comptage Décadaire'!X82,'Comptage Décadaire'!X:X,1,FALSE),"")</f>
        <v/>
      </c>
      <c r="X81" s="30" t="str">
        <f>IF('Comptage Décadaire'!Y82&lt;&gt;"",VLOOKUP('Comptage Décadaire'!Y82,'Comptage Décadaire'!Y:Y,1,FALSE),"")</f>
        <v/>
      </c>
      <c r="Y81" s="30" t="str">
        <f>IF('Comptage Décadaire'!Z82&lt;&gt;"",VLOOKUP('Comptage Décadaire'!Z82,Nomenclature!$F$2:$G$7,2,FALSE),"")</f>
        <v/>
      </c>
      <c r="Z81" s="30" t="str">
        <f>IF('Comptage Décadaire'!AA82&lt;&gt;"",VLOOKUP('Comptage Décadaire'!AA82,Nomenclature!$H$2:$I$31,2,FALSE),"")</f>
        <v/>
      </c>
      <c r="AA81" s="30" t="str">
        <f>IF('Comptage Décadaire'!AB82&lt;&gt;"",VLOOKUP('Comptage Décadaire'!AB82,Nomenclature!$J$2:$K$21,2,FALSE),"")</f>
        <v/>
      </c>
      <c r="AB81" s="30" t="str">
        <f>IF('Comptage Décadaire'!AC82&lt;&gt;"",VLOOKUP('Comptage Décadaire'!AC82,'Comptage Décadaire'!AC:AC,1,FALSE),"")</f>
        <v/>
      </c>
      <c r="AC81" s="32" t="str">
        <f>IF('Comptage Décadaire'!AD82&lt;&gt;"",VLOOKUP('Comptage Décadaire'!AD82,Nomenclature!$L$2:$M$8,2,FALSE),"")</f>
        <v/>
      </c>
      <c r="AD81" s="32" t="str">
        <f>IF('Comptage Décadaire'!AE82&lt;&gt;"",VLOOKUP('Comptage Décadaire'!AE82,Utilisateurs!$D$2:$F$81,3,FALSE),"")</f>
        <v/>
      </c>
      <c r="AE81" s="35" t="str">
        <f>IF('Comptage Décadaire'!AF82&lt;&gt;"",VLOOKUP('Comptage Décadaire'!AF82,'Comptage Décadaire'!AF:AF,1,FALSE),"")</f>
        <v/>
      </c>
      <c r="AF81" s="32" t="str">
        <f>IF('Comptage Décadaire'!AG82&lt;&gt;"",VLOOKUP('Comptage Décadaire'!AG82,'Comptage Décadaire'!AG:AG,1,FALSE),"")</f>
        <v/>
      </c>
    </row>
    <row r="82" spans="1:32" x14ac:dyDescent="0.25">
      <c r="A82" s="25" t="str">
        <f>IF('Comptage Décadaire'!A83&lt;&gt;"",VLOOKUP('Comptage Décadaire'!A83,'Comptage Décadaire'!A:A,1,FALSE),"")</f>
        <v/>
      </c>
      <c r="B82" s="27" t="str">
        <f>IF('Comptage Décadaire'!B83&lt;&gt;"",VLOOKUP('Comptage Décadaire'!B83,'Comptage Décadaire'!B:B,1,FALSE),"")</f>
        <v/>
      </c>
      <c r="C82" s="28" t="str">
        <f>IF('Comptage Décadaire'!C83&lt;&gt;"",VLOOKUP('Comptage Décadaire'!C83,'Comptage Décadaire'!C:C,1,FALSE),"")</f>
        <v/>
      </c>
      <c r="D82" s="29" t="str">
        <f>IF('Comptage Décadaire'!D83&lt;&gt;"",VLOOKUP('Comptage Décadaire'!D83,Sites!$A:$B,2,FALSE),"")</f>
        <v/>
      </c>
      <c r="E82" s="29" t="str">
        <f>IF('Comptage Décadaire'!E83&lt;&gt;"",VLOOKUP('Comptage Décadaire'!E83,'Comptage Décadaire'!E:E,1,FALSE),"")</f>
        <v/>
      </c>
      <c r="F82" s="29" t="str">
        <f>IF('Comptage Décadaire'!F83&lt;&gt;"",VLOOKUP('Comptage Décadaire'!F83,Nomenclature!$B$2:$C$4,2,FALSE),"")</f>
        <v/>
      </c>
      <c r="G82" s="29" t="str">
        <f>IF('Comptage Décadaire'!G83&lt;&gt;"",VLOOKUP('Comptage Décadaire'!G83,'Comptage Décadaire'!G:G,1,FALSE),"")</f>
        <v/>
      </c>
      <c r="H82" s="29" t="str">
        <f>IF('Comptage Décadaire'!H83&lt;&gt;"",VLOOKUP('Comptage Décadaire'!H83,Nomenclature!$D$2:$E$7,2,FALSE),"")</f>
        <v/>
      </c>
      <c r="I82" s="30" t="str">
        <f>IF('Comptage Décadaire'!J83&lt;&gt;"",VLOOKUP('Comptage Décadaire'!J83,'Comptage Décadaire'!J:J,1,FALSE),"")</f>
        <v/>
      </c>
      <c r="J82" s="30" t="str">
        <f>IF('Comptage Décadaire'!K83&lt;&gt;"",VLOOKUP('Comptage Décadaire'!K83,'Comptage Décadaire'!K:K,1,FALSE),"")</f>
        <v/>
      </c>
      <c r="K82" s="30" t="str">
        <f>IF('Comptage Décadaire'!L83&lt;&gt;"",VLOOKUP('Comptage Décadaire'!L83,'Comptage Décadaire'!L:L,1,FALSE),"")</f>
        <v/>
      </c>
      <c r="L82" s="31" t="str">
        <f>IF('Comptage Décadaire'!M83&lt;&gt;"",VLOOKUP('Comptage Décadaire'!M83,'Comptage Décadaire'!M:M,1,FALSE),"")</f>
        <v/>
      </c>
      <c r="M82" s="33" t="str">
        <f>IF('Comptage Décadaire'!N83&lt;&gt;"",VLOOKUP('Comptage Décadaire'!N83,Utilisateurs!$D:$F,3,FALSE),"")</f>
        <v/>
      </c>
      <c r="N82" s="33" t="str">
        <f>IF('Comptage Décadaire'!O83&lt;&gt;"",VLOOKUP('Comptage Décadaire'!O83,Utilisateurs!$D:$F,3,FALSE),"")</f>
        <v/>
      </c>
      <c r="O82" s="33" t="str">
        <f>IF('Comptage Décadaire'!P83&lt;&gt;"",VLOOKUP('Comptage Décadaire'!P83,Utilisateurs!$D:$F,3,FALSE),"")</f>
        <v/>
      </c>
      <c r="P82" s="33" t="str">
        <f>IF('Comptage Décadaire'!Q83&lt;&gt;"",VLOOKUP('Comptage Décadaire'!Q83,Utilisateurs!$D:$F,3,FALSE),"")</f>
        <v/>
      </c>
      <c r="Q82" s="33" t="str">
        <f>IF('Comptage Décadaire'!R83&lt;&gt;"",VLOOKUP('Comptage Décadaire'!R83,Utilisateurs!$D:$F,3,FALSE),"")</f>
        <v/>
      </c>
      <c r="R82" s="30" t="str">
        <f>IF('Comptage Décadaire'!S83&lt;&gt;"",VLOOKUP('Comptage Décadaire'!S83,Nomenclature!$N:$O,2,FALSE),"")</f>
        <v/>
      </c>
      <c r="S82" s="30" t="str">
        <f>IF('Comptage Décadaire'!T83&lt;&gt;"",VLOOKUP('Comptage Décadaire'!T83,'Comptage Décadaire'!T:T,1,FALSE),"")</f>
        <v/>
      </c>
      <c r="T82" s="30" t="str">
        <f>IF('Comptage Décadaire'!U83&lt;&gt;"",VLOOKUP('Comptage Décadaire'!U83,'Comptage Décadaire'!U:U,1,FALSE),"")</f>
        <v/>
      </c>
      <c r="U82" s="30" t="str">
        <f>IF('Comptage Décadaire'!V83&lt;&gt;"",VLOOKUP('Comptage Décadaire'!V83,'Comptage Décadaire'!V:V,1,FALSE),"")</f>
        <v/>
      </c>
      <c r="V82" s="30" t="str">
        <f>IF('Comptage Décadaire'!W83&lt;&gt;"",VLOOKUP('Comptage Décadaire'!W83,'Comptage Décadaire'!W:W,1,FALSE),"")</f>
        <v/>
      </c>
      <c r="W82" s="30" t="str">
        <f>IF('Comptage Décadaire'!X83&lt;&gt;"",VLOOKUP('Comptage Décadaire'!X83,'Comptage Décadaire'!X:X,1,FALSE),"")</f>
        <v/>
      </c>
      <c r="X82" s="30" t="str">
        <f>IF('Comptage Décadaire'!Y83&lt;&gt;"",VLOOKUP('Comptage Décadaire'!Y83,'Comptage Décadaire'!Y:Y,1,FALSE),"")</f>
        <v/>
      </c>
      <c r="Y82" s="30" t="str">
        <f>IF('Comptage Décadaire'!Z83&lt;&gt;"",VLOOKUP('Comptage Décadaire'!Z83,Nomenclature!$F$2:$G$7,2,FALSE),"")</f>
        <v/>
      </c>
      <c r="Z82" s="30" t="str">
        <f>IF('Comptage Décadaire'!AA83&lt;&gt;"",VLOOKUP('Comptage Décadaire'!AA83,Nomenclature!$H$2:$I$31,2,FALSE),"")</f>
        <v/>
      </c>
      <c r="AA82" s="30" t="str">
        <f>IF('Comptage Décadaire'!AB83&lt;&gt;"",VLOOKUP('Comptage Décadaire'!AB83,Nomenclature!$J$2:$K$21,2,FALSE),"")</f>
        <v/>
      </c>
      <c r="AB82" s="30" t="str">
        <f>IF('Comptage Décadaire'!AC83&lt;&gt;"",VLOOKUP('Comptage Décadaire'!AC83,'Comptage Décadaire'!AC:AC,1,FALSE),"")</f>
        <v/>
      </c>
      <c r="AC82" s="32" t="str">
        <f>IF('Comptage Décadaire'!AD83&lt;&gt;"",VLOOKUP('Comptage Décadaire'!AD83,Nomenclature!$L$2:$M$8,2,FALSE),"")</f>
        <v/>
      </c>
      <c r="AD82" s="32" t="str">
        <f>IF('Comptage Décadaire'!AE83&lt;&gt;"",VLOOKUP('Comptage Décadaire'!AE83,Utilisateurs!$D$2:$F$81,3,FALSE),"")</f>
        <v/>
      </c>
      <c r="AE82" s="35" t="str">
        <f>IF('Comptage Décadaire'!AF83&lt;&gt;"",VLOOKUP('Comptage Décadaire'!AF83,'Comptage Décadaire'!AF:AF,1,FALSE),"")</f>
        <v/>
      </c>
      <c r="AF82" s="32" t="str">
        <f>IF('Comptage Décadaire'!AG83&lt;&gt;"",VLOOKUP('Comptage Décadaire'!AG83,'Comptage Décadaire'!AG:AG,1,FALSE),"")</f>
        <v/>
      </c>
    </row>
    <row r="83" spans="1:32" x14ac:dyDescent="0.25">
      <c r="A83" s="25" t="str">
        <f>IF('Comptage Décadaire'!A84&lt;&gt;"",VLOOKUP('Comptage Décadaire'!A84,'Comptage Décadaire'!A:A,1,FALSE),"")</f>
        <v/>
      </c>
      <c r="B83" s="27" t="str">
        <f>IF('Comptage Décadaire'!B84&lt;&gt;"",VLOOKUP('Comptage Décadaire'!B84,'Comptage Décadaire'!B:B,1,FALSE),"")</f>
        <v/>
      </c>
      <c r="C83" s="28" t="str">
        <f>IF('Comptage Décadaire'!C84&lt;&gt;"",VLOOKUP('Comptage Décadaire'!C84,'Comptage Décadaire'!C:C,1,FALSE),"")</f>
        <v/>
      </c>
      <c r="D83" s="29" t="str">
        <f>IF('Comptage Décadaire'!D84&lt;&gt;"",VLOOKUP('Comptage Décadaire'!D84,Sites!$A:$B,2,FALSE),"")</f>
        <v/>
      </c>
      <c r="E83" s="29" t="str">
        <f>IF('Comptage Décadaire'!E84&lt;&gt;"",VLOOKUP('Comptage Décadaire'!E84,'Comptage Décadaire'!E:E,1,FALSE),"")</f>
        <v/>
      </c>
      <c r="F83" s="29" t="str">
        <f>IF('Comptage Décadaire'!F84&lt;&gt;"",VLOOKUP('Comptage Décadaire'!F84,Nomenclature!$B$2:$C$4,2,FALSE),"")</f>
        <v/>
      </c>
      <c r="G83" s="29" t="str">
        <f>IF('Comptage Décadaire'!G84&lt;&gt;"",VLOOKUP('Comptage Décadaire'!G84,'Comptage Décadaire'!G:G,1,FALSE),"")</f>
        <v/>
      </c>
      <c r="H83" s="29" t="str">
        <f>IF('Comptage Décadaire'!H84&lt;&gt;"",VLOOKUP('Comptage Décadaire'!H84,Nomenclature!$D$2:$E$7,2,FALSE),"")</f>
        <v/>
      </c>
      <c r="I83" s="30" t="str">
        <f>IF('Comptage Décadaire'!J84&lt;&gt;"",VLOOKUP('Comptage Décadaire'!J84,'Comptage Décadaire'!J:J,1,FALSE),"")</f>
        <v/>
      </c>
      <c r="J83" s="30" t="str">
        <f>IF('Comptage Décadaire'!K84&lt;&gt;"",VLOOKUP('Comptage Décadaire'!K84,'Comptage Décadaire'!K:K,1,FALSE),"")</f>
        <v/>
      </c>
      <c r="K83" s="30" t="str">
        <f>IF('Comptage Décadaire'!L84&lt;&gt;"",VLOOKUP('Comptage Décadaire'!L84,'Comptage Décadaire'!L:L,1,FALSE),"")</f>
        <v/>
      </c>
      <c r="L83" s="31" t="str">
        <f>IF('Comptage Décadaire'!M84&lt;&gt;"",VLOOKUP('Comptage Décadaire'!M84,'Comptage Décadaire'!M:M,1,FALSE),"")</f>
        <v/>
      </c>
      <c r="M83" s="33" t="str">
        <f>IF('Comptage Décadaire'!N84&lt;&gt;"",VLOOKUP('Comptage Décadaire'!N84,Utilisateurs!$D:$F,3,FALSE),"")</f>
        <v/>
      </c>
      <c r="N83" s="33" t="str">
        <f>IF('Comptage Décadaire'!O84&lt;&gt;"",VLOOKUP('Comptage Décadaire'!O84,Utilisateurs!$D:$F,3,FALSE),"")</f>
        <v/>
      </c>
      <c r="O83" s="33" t="str">
        <f>IF('Comptage Décadaire'!P84&lt;&gt;"",VLOOKUP('Comptage Décadaire'!P84,Utilisateurs!$D:$F,3,FALSE),"")</f>
        <v/>
      </c>
      <c r="P83" s="33" t="str">
        <f>IF('Comptage Décadaire'!Q84&lt;&gt;"",VLOOKUP('Comptage Décadaire'!Q84,Utilisateurs!$D:$F,3,FALSE),"")</f>
        <v/>
      </c>
      <c r="Q83" s="33" t="str">
        <f>IF('Comptage Décadaire'!R84&lt;&gt;"",VLOOKUP('Comptage Décadaire'!R84,Utilisateurs!$D:$F,3,FALSE),"")</f>
        <v/>
      </c>
      <c r="R83" s="30" t="str">
        <f>IF('Comptage Décadaire'!S84&lt;&gt;"",VLOOKUP('Comptage Décadaire'!S84,Nomenclature!$N:$O,2,FALSE),"")</f>
        <v/>
      </c>
      <c r="S83" s="30" t="str">
        <f>IF('Comptage Décadaire'!T84&lt;&gt;"",VLOOKUP('Comptage Décadaire'!T84,'Comptage Décadaire'!T:T,1,FALSE),"")</f>
        <v/>
      </c>
      <c r="T83" s="30" t="str">
        <f>IF('Comptage Décadaire'!U84&lt;&gt;"",VLOOKUP('Comptage Décadaire'!U84,'Comptage Décadaire'!U:U,1,FALSE),"")</f>
        <v/>
      </c>
      <c r="U83" s="30" t="str">
        <f>IF('Comptage Décadaire'!V84&lt;&gt;"",VLOOKUP('Comptage Décadaire'!V84,'Comptage Décadaire'!V:V,1,FALSE),"")</f>
        <v/>
      </c>
      <c r="V83" s="30" t="str">
        <f>IF('Comptage Décadaire'!W84&lt;&gt;"",VLOOKUP('Comptage Décadaire'!W84,'Comptage Décadaire'!W:W,1,FALSE),"")</f>
        <v/>
      </c>
      <c r="W83" s="30" t="str">
        <f>IF('Comptage Décadaire'!X84&lt;&gt;"",VLOOKUP('Comptage Décadaire'!X84,'Comptage Décadaire'!X:X,1,FALSE),"")</f>
        <v/>
      </c>
      <c r="X83" s="30" t="str">
        <f>IF('Comptage Décadaire'!Y84&lt;&gt;"",VLOOKUP('Comptage Décadaire'!Y84,'Comptage Décadaire'!Y:Y,1,FALSE),"")</f>
        <v/>
      </c>
      <c r="Y83" s="30" t="str">
        <f>IF('Comptage Décadaire'!Z84&lt;&gt;"",VLOOKUP('Comptage Décadaire'!Z84,Nomenclature!$F$2:$G$7,2,FALSE),"")</f>
        <v/>
      </c>
      <c r="Z83" s="30" t="str">
        <f>IF('Comptage Décadaire'!AA84&lt;&gt;"",VLOOKUP('Comptage Décadaire'!AA84,Nomenclature!$H$2:$I$31,2,FALSE),"")</f>
        <v/>
      </c>
      <c r="AA83" s="30" t="str">
        <f>IF('Comptage Décadaire'!AB84&lt;&gt;"",VLOOKUP('Comptage Décadaire'!AB84,Nomenclature!$J$2:$K$21,2,FALSE),"")</f>
        <v/>
      </c>
      <c r="AB83" s="30" t="str">
        <f>IF('Comptage Décadaire'!AC84&lt;&gt;"",VLOOKUP('Comptage Décadaire'!AC84,'Comptage Décadaire'!AC:AC,1,FALSE),"")</f>
        <v/>
      </c>
      <c r="AC83" s="32" t="str">
        <f>IF('Comptage Décadaire'!AD84&lt;&gt;"",VLOOKUP('Comptage Décadaire'!AD84,Nomenclature!$L$2:$M$8,2,FALSE),"")</f>
        <v/>
      </c>
      <c r="AD83" s="32" t="str">
        <f>IF('Comptage Décadaire'!AE84&lt;&gt;"",VLOOKUP('Comptage Décadaire'!AE84,Utilisateurs!$D$2:$F$81,3,FALSE),"")</f>
        <v/>
      </c>
      <c r="AE83" s="35" t="str">
        <f>IF('Comptage Décadaire'!AF84&lt;&gt;"",VLOOKUP('Comptage Décadaire'!AF84,'Comptage Décadaire'!AF:AF,1,FALSE),"")</f>
        <v/>
      </c>
      <c r="AF83" s="32" t="str">
        <f>IF('Comptage Décadaire'!AG84&lt;&gt;"",VLOOKUP('Comptage Décadaire'!AG84,'Comptage Décadaire'!AG:AG,1,FALSE),"")</f>
        <v/>
      </c>
    </row>
    <row r="84" spans="1:32" x14ac:dyDescent="0.25">
      <c r="A84" s="25" t="str">
        <f>IF('Comptage Décadaire'!A85&lt;&gt;"",VLOOKUP('Comptage Décadaire'!A85,'Comptage Décadaire'!A:A,1,FALSE),"")</f>
        <v/>
      </c>
      <c r="B84" s="27" t="str">
        <f>IF('Comptage Décadaire'!B85&lt;&gt;"",VLOOKUP('Comptage Décadaire'!B85,'Comptage Décadaire'!B:B,1,FALSE),"")</f>
        <v/>
      </c>
      <c r="C84" s="28" t="str">
        <f>IF('Comptage Décadaire'!C85&lt;&gt;"",VLOOKUP('Comptage Décadaire'!C85,'Comptage Décadaire'!C:C,1,FALSE),"")</f>
        <v/>
      </c>
      <c r="D84" s="29" t="str">
        <f>IF('Comptage Décadaire'!D85&lt;&gt;"",VLOOKUP('Comptage Décadaire'!D85,Sites!$A:$B,2,FALSE),"")</f>
        <v/>
      </c>
      <c r="E84" s="29" t="str">
        <f>IF('Comptage Décadaire'!E85&lt;&gt;"",VLOOKUP('Comptage Décadaire'!E85,'Comptage Décadaire'!E:E,1,FALSE),"")</f>
        <v/>
      </c>
      <c r="F84" s="29" t="str">
        <f>IF('Comptage Décadaire'!F85&lt;&gt;"",VLOOKUP('Comptage Décadaire'!F85,Nomenclature!$B$2:$C$4,2,FALSE),"")</f>
        <v/>
      </c>
      <c r="G84" s="29" t="str">
        <f>IF('Comptage Décadaire'!G85&lt;&gt;"",VLOOKUP('Comptage Décadaire'!G85,'Comptage Décadaire'!G:G,1,FALSE),"")</f>
        <v/>
      </c>
      <c r="H84" s="29" t="str">
        <f>IF('Comptage Décadaire'!H85&lt;&gt;"",VLOOKUP('Comptage Décadaire'!H85,Nomenclature!$D$2:$E$7,2,FALSE),"")</f>
        <v/>
      </c>
      <c r="I84" s="30" t="str">
        <f>IF('Comptage Décadaire'!J85&lt;&gt;"",VLOOKUP('Comptage Décadaire'!J85,'Comptage Décadaire'!J:J,1,FALSE),"")</f>
        <v/>
      </c>
      <c r="J84" s="30" t="str">
        <f>IF('Comptage Décadaire'!K85&lt;&gt;"",VLOOKUP('Comptage Décadaire'!K85,'Comptage Décadaire'!K:K,1,FALSE),"")</f>
        <v/>
      </c>
      <c r="K84" s="30" t="str">
        <f>IF('Comptage Décadaire'!L85&lt;&gt;"",VLOOKUP('Comptage Décadaire'!L85,'Comptage Décadaire'!L:L,1,FALSE),"")</f>
        <v/>
      </c>
      <c r="L84" s="31" t="str">
        <f>IF('Comptage Décadaire'!M85&lt;&gt;"",VLOOKUP('Comptage Décadaire'!M85,'Comptage Décadaire'!M:M,1,FALSE),"")</f>
        <v/>
      </c>
      <c r="M84" s="33" t="str">
        <f>IF('Comptage Décadaire'!N85&lt;&gt;"",VLOOKUP('Comptage Décadaire'!N85,Utilisateurs!$D:$F,3,FALSE),"")</f>
        <v/>
      </c>
      <c r="N84" s="33" t="str">
        <f>IF('Comptage Décadaire'!O85&lt;&gt;"",VLOOKUP('Comptage Décadaire'!O85,Utilisateurs!$D:$F,3,FALSE),"")</f>
        <v/>
      </c>
      <c r="O84" s="33" t="str">
        <f>IF('Comptage Décadaire'!P85&lt;&gt;"",VLOOKUP('Comptage Décadaire'!P85,Utilisateurs!$D:$F,3,FALSE),"")</f>
        <v/>
      </c>
      <c r="P84" s="33" t="str">
        <f>IF('Comptage Décadaire'!Q85&lt;&gt;"",VLOOKUP('Comptage Décadaire'!Q85,Utilisateurs!$D:$F,3,FALSE),"")</f>
        <v/>
      </c>
      <c r="Q84" s="33" t="str">
        <f>IF('Comptage Décadaire'!R85&lt;&gt;"",VLOOKUP('Comptage Décadaire'!R85,Utilisateurs!$D:$F,3,FALSE),"")</f>
        <v/>
      </c>
      <c r="R84" s="30" t="str">
        <f>IF('Comptage Décadaire'!S85&lt;&gt;"",VLOOKUP('Comptage Décadaire'!S85,Nomenclature!$N:$O,2,FALSE),"")</f>
        <v/>
      </c>
      <c r="S84" s="30" t="str">
        <f>IF('Comptage Décadaire'!T85&lt;&gt;"",VLOOKUP('Comptage Décadaire'!T85,'Comptage Décadaire'!T:T,1,FALSE),"")</f>
        <v/>
      </c>
      <c r="T84" s="30" t="str">
        <f>IF('Comptage Décadaire'!U85&lt;&gt;"",VLOOKUP('Comptage Décadaire'!U85,'Comptage Décadaire'!U:U,1,FALSE),"")</f>
        <v/>
      </c>
      <c r="U84" s="30" t="str">
        <f>IF('Comptage Décadaire'!V85&lt;&gt;"",VLOOKUP('Comptage Décadaire'!V85,'Comptage Décadaire'!V:V,1,FALSE),"")</f>
        <v/>
      </c>
      <c r="V84" s="30" t="str">
        <f>IF('Comptage Décadaire'!W85&lt;&gt;"",VLOOKUP('Comptage Décadaire'!W85,'Comptage Décadaire'!W:W,1,FALSE),"")</f>
        <v/>
      </c>
      <c r="W84" s="30" t="str">
        <f>IF('Comptage Décadaire'!X85&lt;&gt;"",VLOOKUP('Comptage Décadaire'!X85,'Comptage Décadaire'!X:X,1,FALSE),"")</f>
        <v/>
      </c>
      <c r="X84" s="30" t="str">
        <f>IF('Comptage Décadaire'!Y85&lt;&gt;"",VLOOKUP('Comptage Décadaire'!Y85,'Comptage Décadaire'!Y:Y,1,FALSE),"")</f>
        <v/>
      </c>
      <c r="Y84" s="30" t="str">
        <f>IF('Comptage Décadaire'!Z85&lt;&gt;"",VLOOKUP('Comptage Décadaire'!Z85,Nomenclature!$F$2:$G$7,2,FALSE),"")</f>
        <v/>
      </c>
      <c r="Z84" s="30" t="str">
        <f>IF('Comptage Décadaire'!AA85&lt;&gt;"",VLOOKUP('Comptage Décadaire'!AA85,Nomenclature!$H$2:$I$31,2,FALSE),"")</f>
        <v/>
      </c>
      <c r="AA84" s="30" t="str">
        <f>IF('Comptage Décadaire'!AB85&lt;&gt;"",VLOOKUP('Comptage Décadaire'!AB85,Nomenclature!$J$2:$K$21,2,FALSE),"")</f>
        <v/>
      </c>
      <c r="AB84" s="30" t="str">
        <f>IF('Comptage Décadaire'!AC85&lt;&gt;"",VLOOKUP('Comptage Décadaire'!AC85,'Comptage Décadaire'!AC:AC,1,FALSE),"")</f>
        <v/>
      </c>
      <c r="AC84" s="32" t="str">
        <f>IF('Comptage Décadaire'!AD85&lt;&gt;"",VLOOKUP('Comptage Décadaire'!AD85,Nomenclature!$L$2:$M$8,2,FALSE),"")</f>
        <v/>
      </c>
      <c r="AD84" s="32" t="str">
        <f>IF('Comptage Décadaire'!AE85&lt;&gt;"",VLOOKUP('Comptage Décadaire'!AE85,Utilisateurs!$D$2:$F$81,3,FALSE),"")</f>
        <v/>
      </c>
      <c r="AE84" s="35" t="str">
        <f>IF('Comptage Décadaire'!AF85&lt;&gt;"",VLOOKUP('Comptage Décadaire'!AF85,'Comptage Décadaire'!AF:AF,1,FALSE),"")</f>
        <v/>
      </c>
      <c r="AF84" s="32" t="str">
        <f>IF('Comptage Décadaire'!AG85&lt;&gt;"",VLOOKUP('Comptage Décadaire'!AG85,'Comptage Décadaire'!AG:AG,1,FALSE),"")</f>
        <v/>
      </c>
    </row>
    <row r="85" spans="1:32" x14ac:dyDescent="0.25">
      <c r="A85" s="25" t="str">
        <f>IF('Comptage Décadaire'!A86&lt;&gt;"",VLOOKUP('Comptage Décadaire'!A86,'Comptage Décadaire'!A:A,1,FALSE),"")</f>
        <v/>
      </c>
      <c r="B85" s="27" t="str">
        <f>IF('Comptage Décadaire'!B86&lt;&gt;"",VLOOKUP('Comptage Décadaire'!B86,'Comptage Décadaire'!B:B,1,FALSE),"")</f>
        <v/>
      </c>
      <c r="C85" s="28" t="str">
        <f>IF('Comptage Décadaire'!C86&lt;&gt;"",VLOOKUP('Comptage Décadaire'!C86,'Comptage Décadaire'!C:C,1,FALSE),"")</f>
        <v/>
      </c>
      <c r="D85" s="29" t="str">
        <f>IF('Comptage Décadaire'!D86&lt;&gt;"",VLOOKUP('Comptage Décadaire'!D86,Sites!$A:$B,2,FALSE),"")</f>
        <v/>
      </c>
      <c r="E85" s="29" t="str">
        <f>IF('Comptage Décadaire'!E86&lt;&gt;"",VLOOKUP('Comptage Décadaire'!E86,'Comptage Décadaire'!E:E,1,FALSE),"")</f>
        <v/>
      </c>
      <c r="F85" s="29" t="str">
        <f>IF('Comptage Décadaire'!F86&lt;&gt;"",VLOOKUP('Comptage Décadaire'!F86,Nomenclature!$B$2:$C$4,2,FALSE),"")</f>
        <v/>
      </c>
      <c r="G85" s="29" t="str">
        <f>IF('Comptage Décadaire'!G86&lt;&gt;"",VLOOKUP('Comptage Décadaire'!G86,'Comptage Décadaire'!G:G,1,FALSE),"")</f>
        <v/>
      </c>
      <c r="H85" s="29" t="str">
        <f>IF('Comptage Décadaire'!H86&lt;&gt;"",VLOOKUP('Comptage Décadaire'!H86,Nomenclature!$D$2:$E$7,2,FALSE),"")</f>
        <v/>
      </c>
      <c r="I85" s="30" t="str">
        <f>IF('Comptage Décadaire'!J86&lt;&gt;"",VLOOKUP('Comptage Décadaire'!J86,'Comptage Décadaire'!J:J,1,FALSE),"")</f>
        <v/>
      </c>
      <c r="J85" s="30" t="str">
        <f>IF('Comptage Décadaire'!K86&lt;&gt;"",VLOOKUP('Comptage Décadaire'!K86,'Comptage Décadaire'!K:K,1,FALSE),"")</f>
        <v/>
      </c>
      <c r="K85" s="30" t="str">
        <f>IF('Comptage Décadaire'!L86&lt;&gt;"",VLOOKUP('Comptage Décadaire'!L86,'Comptage Décadaire'!L:L,1,FALSE),"")</f>
        <v/>
      </c>
      <c r="L85" s="31" t="str">
        <f>IF('Comptage Décadaire'!M86&lt;&gt;"",VLOOKUP('Comptage Décadaire'!M86,'Comptage Décadaire'!M:M,1,FALSE),"")</f>
        <v/>
      </c>
      <c r="M85" s="33" t="str">
        <f>IF('Comptage Décadaire'!N86&lt;&gt;"",VLOOKUP('Comptage Décadaire'!N86,Utilisateurs!$D:$F,3,FALSE),"")</f>
        <v/>
      </c>
      <c r="N85" s="33" t="str">
        <f>IF('Comptage Décadaire'!O86&lt;&gt;"",VLOOKUP('Comptage Décadaire'!O86,Utilisateurs!$D:$F,3,FALSE),"")</f>
        <v/>
      </c>
      <c r="O85" s="33" t="str">
        <f>IF('Comptage Décadaire'!P86&lt;&gt;"",VLOOKUP('Comptage Décadaire'!P86,Utilisateurs!$D:$F,3,FALSE),"")</f>
        <v/>
      </c>
      <c r="P85" s="33" t="str">
        <f>IF('Comptage Décadaire'!Q86&lt;&gt;"",VLOOKUP('Comptage Décadaire'!Q86,Utilisateurs!$D:$F,3,FALSE),"")</f>
        <v/>
      </c>
      <c r="Q85" s="33" t="str">
        <f>IF('Comptage Décadaire'!R86&lt;&gt;"",VLOOKUP('Comptage Décadaire'!R86,Utilisateurs!$D:$F,3,FALSE),"")</f>
        <v/>
      </c>
      <c r="R85" s="30" t="str">
        <f>IF('Comptage Décadaire'!S86&lt;&gt;"",VLOOKUP('Comptage Décadaire'!S86,Nomenclature!$N:$O,2,FALSE),"")</f>
        <v/>
      </c>
      <c r="S85" s="30" t="str">
        <f>IF('Comptage Décadaire'!T86&lt;&gt;"",VLOOKUP('Comptage Décadaire'!T86,'Comptage Décadaire'!T:T,1,FALSE),"")</f>
        <v/>
      </c>
      <c r="T85" s="30" t="str">
        <f>IF('Comptage Décadaire'!U86&lt;&gt;"",VLOOKUP('Comptage Décadaire'!U86,'Comptage Décadaire'!U:U,1,FALSE),"")</f>
        <v/>
      </c>
      <c r="U85" s="30" t="str">
        <f>IF('Comptage Décadaire'!V86&lt;&gt;"",VLOOKUP('Comptage Décadaire'!V86,'Comptage Décadaire'!V:V,1,FALSE),"")</f>
        <v/>
      </c>
      <c r="V85" s="30" t="str">
        <f>IF('Comptage Décadaire'!W86&lt;&gt;"",VLOOKUP('Comptage Décadaire'!W86,'Comptage Décadaire'!W:W,1,FALSE),"")</f>
        <v/>
      </c>
      <c r="W85" s="30" t="str">
        <f>IF('Comptage Décadaire'!X86&lt;&gt;"",VLOOKUP('Comptage Décadaire'!X86,'Comptage Décadaire'!X:X,1,FALSE),"")</f>
        <v/>
      </c>
      <c r="X85" s="30" t="str">
        <f>IF('Comptage Décadaire'!Y86&lt;&gt;"",VLOOKUP('Comptage Décadaire'!Y86,'Comptage Décadaire'!Y:Y,1,FALSE),"")</f>
        <v/>
      </c>
      <c r="Y85" s="30" t="str">
        <f>IF('Comptage Décadaire'!Z86&lt;&gt;"",VLOOKUP('Comptage Décadaire'!Z86,Nomenclature!$F$2:$G$7,2,FALSE),"")</f>
        <v/>
      </c>
      <c r="Z85" s="30" t="str">
        <f>IF('Comptage Décadaire'!AA86&lt;&gt;"",VLOOKUP('Comptage Décadaire'!AA86,Nomenclature!$H$2:$I$31,2,FALSE),"")</f>
        <v/>
      </c>
      <c r="AA85" s="30" t="str">
        <f>IF('Comptage Décadaire'!AB86&lt;&gt;"",VLOOKUP('Comptage Décadaire'!AB86,Nomenclature!$J$2:$K$21,2,FALSE),"")</f>
        <v/>
      </c>
      <c r="AB85" s="30" t="str">
        <f>IF('Comptage Décadaire'!AC86&lt;&gt;"",VLOOKUP('Comptage Décadaire'!AC86,'Comptage Décadaire'!AC:AC,1,FALSE),"")</f>
        <v/>
      </c>
      <c r="AC85" s="32" t="str">
        <f>IF('Comptage Décadaire'!AD86&lt;&gt;"",VLOOKUP('Comptage Décadaire'!AD86,Nomenclature!$L$2:$M$8,2,FALSE),"")</f>
        <v/>
      </c>
      <c r="AD85" s="32" t="str">
        <f>IF('Comptage Décadaire'!AE86&lt;&gt;"",VLOOKUP('Comptage Décadaire'!AE86,Utilisateurs!$D$2:$F$81,3,FALSE),"")</f>
        <v/>
      </c>
      <c r="AE85" s="35" t="str">
        <f>IF('Comptage Décadaire'!AF86&lt;&gt;"",VLOOKUP('Comptage Décadaire'!AF86,'Comptage Décadaire'!AF:AF,1,FALSE),"")</f>
        <v/>
      </c>
      <c r="AF85" s="32" t="str">
        <f>IF('Comptage Décadaire'!AG86&lt;&gt;"",VLOOKUP('Comptage Décadaire'!AG86,'Comptage Décadaire'!AG:AG,1,FALSE),"")</f>
        <v/>
      </c>
    </row>
    <row r="86" spans="1:32" x14ac:dyDescent="0.25">
      <c r="A86" s="25" t="str">
        <f>IF('Comptage Décadaire'!A87&lt;&gt;"",VLOOKUP('Comptage Décadaire'!A87,'Comptage Décadaire'!A:A,1,FALSE),"")</f>
        <v/>
      </c>
      <c r="B86" s="27" t="str">
        <f>IF('Comptage Décadaire'!B87&lt;&gt;"",VLOOKUP('Comptage Décadaire'!B87,'Comptage Décadaire'!B:B,1,FALSE),"")</f>
        <v/>
      </c>
      <c r="C86" s="28" t="str">
        <f>IF('Comptage Décadaire'!C87&lt;&gt;"",VLOOKUP('Comptage Décadaire'!C87,'Comptage Décadaire'!C:C,1,FALSE),"")</f>
        <v/>
      </c>
      <c r="D86" s="29" t="str">
        <f>IF('Comptage Décadaire'!D87&lt;&gt;"",VLOOKUP('Comptage Décadaire'!D87,Sites!$A:$B,2,FALSE),"")</f>
        <v/>
      </c>
      <c r="E86" s="29" t="str">
        <f>IF('Comptage Décadaire'!E87&lt;&gt;"",VLOOKUP('Comptage Décadaire'!E87,'Comptage Décadaire'!E:E,1,FALSE),"")</f>
        <v/>
      </c>
      <c r="F86" s="29" t="str">
        <f>IF('Comptage Décadaire'!F87&lt;&gt;"",VLOOKUP('Comptage Décadaire'!F87,Nomenclature!$B$2:$C$4,2,FALSE),"")</f>
        <v/>
      </c>
      <c r="G86" s="29" t="str">
        <f>IF('Comptage Décadaire'!G87&lt;&gt;"",VLOOKUP('Comptage Décadaire'!G87,'Comptage Décadaire'!G:G,1,FALSE),"")</f>
        <v/>
      </c>
      <c r="H86" s="29" t="str">
        <f>IF('Comptage Décadaire'!H87&lt;&gt;"",VLOOKUP('Comptage Décadaire'!H87,Nomenclature!$D$2:$E$7,2,FALSE),"")</f>
        <v/>
      </c>
      <c r="I86" s="30" t="str">
        <f>IF('Comptage Décadaire'!J87&lt;&gt;"",VLOOKUP('Comptage Décadaire'!J87,'Comptage Décadaire'!J:J,1,FALSE),"")</f>
        <v/>
      </c>
      <c r="J86" s="30" t="str">
        <f>IF('Comptage Décadaire'!K87&lt;&gt;"",VLOOKUP('Comptage Décadaire'!K87,'Comptage Décadaire'!K:K,1,FALSE),"")</f>
        <v/>
      </c>
      <c r="K86" s="30" t="str">
        <f>IF('Comptage Décadaire'!L87&lt;&gt;"",VLOOKUP('Comptage Décadaire'!L87,'Comptage Décadaire'!L:L,1,FALSE),"")</f>
        <v/>
      </c>
      <c r="L86" s="31" t="str">
        <f>IF('Comptage Décadaire'!M87&lt;&gt;"",VLOOKUP('Comptage Décadaire'!M87,'Comptage Décadaire'!M:M,1,FALSE),"")</f>
        <v/>
      </c>
      <c r="M86" s="33" t="str">
        <f>IF('Comptage Décadaire'!N87&lt;&gt;"",VLOOKUP('Comptage Décadaire'!N87,Utilisateurs!$D:$F,3,FALSE),"")</f>
        <v/>
      </c>
      <c r="N86" s="33" t="str">
        <f>IF('Comptage Décadaire'!O87&lt;&gt;"",VLOOKUP('Comptage Décadaire'!O87,Utilisateurs!$D:$F,3,FALSE),"")</f>
        <v/>
      </c>
      <c r="O86" s="33" t="str">
        <f>IF('Comptage Décadaire'!P87&lt;&gt;"",VLOOKUP('Comptage Décadaire'!P87,Utilisateurs!$D:$F,3,FALSE),"")</f>
        <v/>
      </c>
      <c r="P86" s="33" t="str">
        <f>IF('Comptage Décadaire'!Q87&lt;&gt;"",VLOOKUP('Comptage Décadaire'!Q87,Utilisateurs!$D:$F,3,FALSE),"")</f>
        <v/>
      </c>
      <c r="Q86" s="33" t="str">
        <f>IF('Comptage Décadaire'!R87&lt;&gt;"",VLOOKUP('Comptage Décadaire'!R87,Utilisateurs!$D:$F,3,FALSE),"")</f>
        <v/>
      </c>
      <c r="R86" s="30" t="str">
        <f>IF('Comptage Décadaire'!S87&lt;&gt;"",VLOOKUP('Comptage Décadaire'!S87,Nomenclature!$N:$O,2,FALSE),"")</f>
        <v/>
      </c>
      <c r="S86" s="30" t="str">
        <f>IF('Comptage Décadaire'!T87&lt;&gt;"",VLOOKUP('Comptage Décadaire'!T87,'Comptage Décadaire'!T:T,1,FALSE),"")</f>
        <v/>
      </c>
      <c r="T86" s="30" t="str">
        <f>IF('Comptage Décadaire'!U87&lt;&gt;"",VLOOKUP('Comptage Décadaire'!U87,'Comptage Décadaire'!U:U,1,FALSE),"")</f>
        <v/>
      </c>
      <c r="U86" s="30" t="str">
        <f>IF('Comptage Décadaire'!V87&lt;&gt;"",VLOOKUP('Comptage Décadaire'!V87,'Comptage Décadaire'!V:V,1,FALSE),"")</f>
        <v/>
      </c>
      <c r="V86" s="30" t="str">
        <f>IF('Comptage Décadaire'!W87&lt;&gt;"",VLOOKUP('Comptage Décadaire'!W87,'Comptage Décadaire'!W:W,1,FALSE),"")</f>
        <v/>
      </c>
      <c r="W86" s="30" t="str">
        <f>IF('Comptage Décadaire'!X87&lt;&gt;"",VLOOKUP('Comptage Décadaire'!X87,'Comptage Décadaire'!X:X,1,FALSE),"")</f>
        <v/>
      </c>
      <c r="X86" s="30" t="str">
        <f>IF('Comptage Décadaire'!Y87&lt;&gt;"",VLOOKUP('Comptage Décadaire'!Y87,'Comptage Décadaire'!Y:Y,1,FALSE),"")</f>
        <v/>
      </c>
      <c r="Y86" s="30" t="str">
        <f>IF('Comptage Décadaire'!Z87&lt;&gt;"",VLOOKUP('Comptage Décadaire'!Z87,Nomenclature!$F$2:$G$7,2,FALSE),"")</f>
        <v/>
      </c>
      <c r="Z86" s="30" t="str">
        <f>IF('Comptage Décadaire'!AA87&lt;&gt;"",VLOOKUP('Comptage Décadaire'!AA87,Nomenclature!$H$2:$I$31,2,FALSE),"")</f>
        <v/>
      </c>
      <c r="AA86" s="30" t="str">
        <f>IF('Comptage Décadaire'!AB87&lt;&gt;"",VLOOKUP('Comptage Décadaire'!AB87,Nomenclature!$J$2:$K$21,2,FALSE),"")</f>
        <v/>
      </c>
      <c r="AB86" s="30" t="str">
        <f>IF('Comptage Décadaire'!AC87&lt;&gt;"",VLOOKUP('Comptage Décadaire'!AC87,'Comptage Décadaire'!AC:AC,1,FALSE),"")</f>
        <v/>
      </c>
      <c r="AC86" s="32" t="str">
        <f>IF('Comptage Décadaire'!AD87&lt;&gt;"",VLOOKUP('Comptage Décadaire'!AD87,Nomenclature!$L$2:$M$8,2,FALSE),"")</f>
        <v/>
      </c>
      <c r="AD86" s="32" t="str">
        <f>IF('Comptage Décadaire'!AE87&lt;&gt;"",VLOOKUP('Comptage Décadaire'!AE87,Utilisateurs!$D$2:$F$81,3,FALSE),"")</f>
        <v/>
      </c>
      <c r="AE86" s="35" t="str">
        <f>IF('Comptage Décadaire'!AF87&lt;&gt;"",VLOOKUP('Comptage Décadaire'!AF87,'Comptage Décadaire'!AF:AF,1,FALSE),"")</f>
        <v/>
      </c>
      <c r="AF86" s="32" t="str">
        <f>IF('Comptage Décadaire'!AG87&lt;&gt;"",VLOOKUP('Comptage Décadaire'!AG87,'Comptage Décadaire'!AG:AG,1,FALSE),"")</f>
        <v/>
      </c>
    </row>
    <row r="87" spans="1:32" x14ac:dyDescent="0.25">
      <c r="A87" s="25" t="str">
        <f>IF('Comptage Décadaire'!A88&lt;&gt;"",VLOOKUP('Comptage Décadaire'!A88,'Comptage Décadaire'!A:A,1,FALSE),"")</f>
        <v/>
      </c>
      <c r="B87" s="27" t="str">
        <f>IF('Comptage Décadaire'!B88&lt;&gt;"",VLOOKUP('Comptage Décadaire'!B88,'Comptage Décadaire'!B:B,1,FALSE),"")</f>
        <v/>
      </c>
      <c r="C87" s="28" t="str">
        <f>IF('Comptage Décadaire'!C88&lt;&gt;"",VLOOKUP('Comptage Décadaire'!C88,'Comptage Décadaire'!C:C,1,FALSE),"")</f>
        <v/>
      </c>
      <c r="D87" s="29" t="str">
        <f>IF('Comptage Décadaire'!D88&lt;&gt;"",VLOOKUP('Comptage Décadaire'!D88,Sites!$A:$B,2,FALSE),"")</f>
        <v/>
      </c>
      <c r="E87" s="29" t="str">
        <f>IF('Comptage Décadaire'!E88&lt;&gt;"",VLOOKUP('Comptage Décadaire'!E88,'Comptage Décadaire'!E:E,1,FALSE),"")</f>
        <v/>
      </c>
      <c r="F87" s="29" t="str">
        <f>IF('Comptage Décadaire'!F88&lt;&gt;"",VLOOKUP('Comptage Décadaire'!F88,Nomenclature!$B$2:$C$4,2,FALSE),"")</f>
        <v/>
      </c>
      <c r="G87" s="29" t="str">
        <f>IF('Comptage Décadaire'!G88&lt;&gt;"",VLOOKUP('Comptage Décadaire'!G88,'Comptage Décadaire'!G:G,1,FALSE),"")</f>
        <v/>
      </c>
      <c r="H87" s="29" t="str">
        <f>IF('Comptage Décadaire'!H88&lt;&gt;"",VLOOKUP('Comptage Décadaire'!H88,Nomenclature!$D$2:$E$7,2,FALSE),"")</f>
        <v/>
      </c>
      <c r="I87" s="30" t="str">
        <f>IF('Comptage Décadaire'!J88&lt;&gt;"",VLOOKUP('Comptage Décadaire'!J88,'Comptage Décadaire'!J:J,1,FALSE),"")</f>
        <v/>
      </c>
      <c r="J87" s="30" t="str">
        <f>IF('Comptage Décadaire'!K88&lt;&gt;"",VLOOKUP('Comptage Décadaire'!K88,'Comptage Décadaire'!K:K,1,FALSE),"")</f>
        <v/>
      </c>
      <c r="K87" s="30" t="str">
        <f>IF('Comptage Décadaire'!L88&lt;&gt;"",VLOOKUP('Comptage Décadaire'!L88,'Comptage Décadaire'!L:L,1,FALSE),"")</f>
        <v/>
      </c>
      <c r="L87" s="31" t="str">
        <f>IF('Comptage Décadaire'!M88&lt;&gt;"",VLOOKUP('Comptage Décadaire'!M88,'Comptage Décadaire'!M:M,1,FALSE),"")</f>
        <v/>
      </c>
      <c r="M87" s="33" t="str">
        <f>IF('Comptage Décadaire'!N88&lt;&gt;"",VLOOKUP('Comptage Décadaire'!N88,Utilisateurs!$D:$F,3,FALSE),"")</f>
        <v/>
      </c>
      <c r="N87" s="33" t="str">
        <f>IF('Comptage Décadaire'!O88&lt;&gt;"",VLOOKUP('Comptage Décadaire'!O88,Utilisateurs!$D:$F,3,FALSE),"")</f>
        <v/>
      </c>
      <c r="O87" s="33" t="str">
        <f>IF('Comptage Décadaire'!P88&lt;&gt;"",VLOOKUP('Comptage Décadaire'!P88,Utilisateurs!$D:$F,3,FALSE),"")</f>
        <v/>
      </c>
      <c r="P87" s="33" t="str">
        <f>IF('Comptage Décadaire'!Q88&lt;&gt;"",VLOOKUP('Comptage Décadaire'!Q88,Utilisateurs!$D:$F,3,FALSE),"")</f>
        <v/>
      </c>
      <c r="Q87" s="33" t="str">
        <f>IF('Comptage Décadaire'!R88&lt;&gt;"",VLOOKUP('Comptage Décadaire'!R88,Utilisateurs!$D:$F,3,FALSE),"")</f>
        <v/>
      </c>
      <c r="R87" s="30" t="str">
        <f>IF('Comptage Décadaire'!S88&lt;&gt;"",VLOOKUP('Comptage Décadaire'!S88,Nomenclature!$N:$O,2,FALSE),"")</f>
        <v/>
      </c>
      <c r="S87" s="30" t="str">
        <f>IF('Comptage Décadaire'!T88&lt;&gt;"",VLOOKUP('Comptage Décadaire'!T88,'Comptage Décadaire'!T:T,1,FALSE),"")</f>
        <v/>
      </c>
      <c r="T87" s="30" t="str">
        <f>IF('Comptage Décadaire'!U88&lt;&gt;"",VLOOKUP('Comptage Décadaire'!U88,'Comptage Décadaire'!U:U,1,FALSE),"")</f>
        <v/>
      </c>
      <c r="U87" s="30" t="str">
        <f>IF('Comptage Décadaire'!V88&lt;&gt;"",VLOOKUP('Comptage Décadaire'!V88,'Comptage Décadaire'!V:V,1,FALSE),"")</f>
        <v/>
      </c>
      <c r="V87" s="30" t="str">
        <f>IF('Comptage Décadaire'!W88&lt;&gt;"",VLOOKUP('Comptage Décadaire'!W88,'Comptage Décadaire'!W:W,1,FALSE),"")</f>
        <v/>
      </c>
      <c r="W87" s="30" t="str">
        <f>IF('Comptage Décadaire'!X88&lt;&gt;"",VLOOKUP('Comptage Décadaire'!X88,'Comptage Décadaire'!X:X,1,FALSE),"")</f>
        <v/>
      </c>
      <c r="X87" s="30" t="str">
        <f>IF('Comptage Décadaire'!Y88&lt;&gt;"",VLOOKUP('Comptage Décadaire'!Y88,'Comptage Décadaire'!Y:Y,1,FALSE),"")</f>
        <v/>
      </c>
      <c r="Y87" s="30" t="str">
        <f>IF('Comptage Décadaire'!Z88&lt;&gt;"",VLOOKUP('Comptage Décadaire'!Z88,Nomenclature!$F$2:$G$7,2,FALSE),"")</f>
        <v/>
      </c>
      <c r="Z87" s="30" t="str">
        <f>IF('Comptage Décadaire'!AA88&lt;&gt;"",VLOOKUP('Comptage Décadaire'!AA88,Nomenclature!$H$2:$I$31,2,FALSE),"")</f>
        <v/>
      </c>
      <c r="AA87" s="30" t="str">
        <f>IF('Comptage Décadaire'!AB88&lt;&gt;"",VLOOKUP('Comptage Décadaire'!AB88,Nomenclature!$J$2:$K$21,2,FALSE),"")</f>
        <v/>
      </c>
      <c r="AB87" s="30" t="str">
        <f>IF('Comptage Décadaire'!AC88&lt;&gt;"",VLOOKUP('Comptage Décadaire'!AC88,'Comptage Décadaire'!AC:AC,1,FALSE),"")</f>
        <v/>
      </c>
      <c r="AC87" s="32" t="str">
        <f>IF('Comptage Décadaire'!AD88&lt;&gt;"",VLOOKUP('Comptage Décadaire'!AD88,Nomenclature!$L$2:$M$8,2,FALSE),"")</f>
        <v/>
      </c>
      <c r="AD87" s="32" t="str">
        <f>IF('Comptage Décadaire'!AE88&lt;&gt;"",VLOOKUP('Comptage Décadaire'!AE88,Utilisateurs!$D$2:$F$81,3,FALSE),"")</f>
        <v/>
      </c>
      <c r="AE87" s="35" t="str">
        <f>IF('Comptage Décadaire'!AF88&lt;&gt;"",VLOOKUP('Comptage Décadaire'!AF88,'Comptage Décadaire'!AF:AF,1,FALSE),"")</f>
        <v/>
      </c>
      <c r="AF87" s="32" t="str">
        <f>IF('Comptage Décadaire'!AG88&lt;&gt;"",VLOOKUP('Comptage Décadaire'!AG88,'Comptage Décadaire'!AG:AG,1,FALSE),"")</f>
        <v/>
      </c>
    </row>
    <row r="88" spans="1:32" x14ac:dyDescent="0.25">
      <c r="A88" s="25" t="str">
        <f>IF('Comptage Décadaire'!A89&lt;&gt;"",VLOOKUP('Comptage Décadaire'!A89,'Comptage Décadaire'!A:A,1,FALSE),"")</f>
        <v/>
      </c>
      <c r="B88" s="27" t="str">
        <f>IF('Comptage Décadaire'!B89&lt;&gt;"",VLOOKUP('Comptage Décadaire'!B89,'Comptage Décadaire'!B:B,1,FALSE),"")</f>
        <v/>
      </c>
      <c r="C88" s="28" t="str">
        <f>IF('Comptage Décadaire'!C89&lt;&gt;"",VLOOKUP('Comptage Décadaire'!C89,'Comptage Décadaire'!C:C,1,FALSE),"")</f>
        <v/>
      </c>
      <c r="D88" s="29" t="str">
        <f>IF('Comptage Décadaire'!D89&lt;&gt;"",VLOOKUP('Comptage Décadaire'!D89,Sites!$A:$B,2,FALSE),"")</f>
        <v/>
      </c>
      <c r="E88" s="29" t="str">
        <f>IF('Comptage Décadaire'!E89&lt;&gt;"",VLOOKUP('Comptage Décadaire'!E89,'Comptage Décadaire'!E:E,1,FALSE),"")</f>
        <v/>
      </c>
      <c r="F88" s="29" t="str">
        <f>IF('Comptage Décadaire'!F89&lt;&gt;"",VLOOKUP('Comptage Décadaire'!F89,Nomenclature!$B$2:$C$4,2,FALSE),"")</f>
        <v/>
      </c>
      <c r="G88" s="29" t="str">
        <f>IF('Comptage Décadaire'!G89&lt;&gt;"",VLOOKUP('Comptage Décadaire'!G89,'Comptage Décadaire'!G:G,1,FALSE),"")</f>
        <v/>
      </c>
      <c r="H88" s="29" t="str">
        <f>IF('Comptage Décadaire'!H89&lt;&gt;"",VLOOKUP('Comptage Décadaire'!H89,Nomenclature!$D$2:$E$7,2,FALSE),"")</f>
        <v/>
      </c>
      <c r="I88" s="30" t="str">
        <f>IF('Comptage Décadaire'!J89&lt;&gt;"",VLOOKUP('Comptage Décadaire'!J89,'Comptage Décadaire'!J:J,1,FALSE),"")</f>
        <v/>
      </c>
      <c r="J88" s="30" t="str">
        <f>IF('Comptage Décadaire'!K89&lt;&gt;"",VLOOKUP('Comptage Décadaire'!K89,'Comptage Décadaire'!K:K,1,FALSE),"")</f>
        <v/>
      </c>
      <c r="K88" s="30" t="str">
        <f>IF('Comptage Décadaire'!L89&lt;&gt;"",VLOOKUP('Comptage Décadaire'!L89,'Comptage Décadaire'!L:L,1,FALSE),"")</f>
        <v/>
      </c>
      <c r="L88" s="31" t="str">
        <f>IF('Comptage Décadaire'!M89&lt;&gt;"",VLOOKUP('Comptage Décadaire'!M89,'Comptage Décadaire'!M:M,1,FALSE),"")</f>
        <v/>
      </c>
      <c r="M88" s="33" t="str">
        <f>IF('Comptage Décadaire'!N89&lt;&gt;"",VLOOKUP('Comptage Décadaire'!N89,Utilisateurs!$D:$F,3,FALSE),"")</f>
        <v/>
      </c>
      <c r="N88" s="33" t="str">
        <f>IF('Comptage Décadaire'!O89&lt;&gt;"",VLOOKUP('Comptage Décadaire'!O89,Utilisateurs!$D:$F,3,FALSE),"")</f>
        <v/>
      </c>
      <c r="O88" s="33" t="str">
        <f>IF('Comptage Décadaire'!P89&lt;&gt;"",VLOOKUP('Comptage Décadaire'!P89,Utilisateurs!$D:$F,3,FALSE),"")</f>
        <v/>
      </c>
      <c r="P88" s="33" t="str">
        <f>IF('Comptage Décadaire'!Q89&lt;&gt;"",VLOOKUP('Comptage Décadaire'!Q89,Utilisateurs!$D:$F,3,FALSE),"")</f>
        <v/>
      </c>
      <c r="Q88" s="33" t="str">
        <f>IF('Comptage Décadaire'!R89&lt;&gt;"",VLOOKUP('Comptage Décadaire'!R89,Utilisateurs!$D:$F,3,FALSE),"")</f>
        <v/>
      </c>
      <c r="R88" s="30" t="str">
        <f>IF('Comptage Décadaire'!S89&lt;&gt;"",VLOOKUP('Comptage Décadaire'!S89,Nomenclature!$N:$O,2,FALSE),"")</f>
        <v/>
      </c>
      <c r="S88" s="30" t="str">
        <f>IF('Comptage Décadaire'!T89&lt;&gt;"",VLOOKUP('Comptage Décadaire'!T89,'Comptage Décadaire'!T:T,1,FALSE),"")</f>
        <v/>
      </c>
      <c r="T88" s="30" t="str">
        <f>IF('Comptage Décadaire'!U89&lt;&gt;"",VLOOKUP('Comptage Décadaire'!U89,'Comptage Décadaire'!U:U,1,FALSE),"")</f>
        <v/>
      </c>
      <c r="U88" s="30" t="str">
        <f>IF('Comptage Décadaire'!V89&lt;&gt;"",VLOOKUP('Comptage Décadaire'!V89,'Comptage Décadaire'!V:V,1,FALSE),"")</f>
        <v/>
      </c>
      <c r="V88" s="30" t="str">
        <f>IF('Comptage Décadaire'!W89&lt;&gt;"",VLOOKUP('Comptage Décadaire'!W89,'Comptage Décadaire'!W:W,1,FALSE),"")</f>
        <v/>
      </c>
      <c r="W88" s="30" t="str">
        <f>IF('Comptage Décadaire'!X89&lt;&gt;"",VLOOKUP('Comptage Décadaire'!X89,'Comptage Décadaire'!X:X,1,FALSE),"")</f>
        <v/>
      </c>
      <c r="X88" s="30" t="str">
        <f>IF('Comptage Décadaire'!Y89&lt;&gt;"",VLOOKUP('Comptage Décadaire'!Y89,'Comptage Décadaire'!Y:Y,1,FALSE),"")</f>
        <v/>
      </c>
      <c r="Y88" s="30" t="str">
        <f>IF('Comptage Décadaire'!Z89&lt;&gt;"",VLOOKUP('Comptage Décadaire'!Z89,Nomenclature!$F$2:$G$7,2,FALSE),"")</f>
        <v/>
      </c>
      <c r="Z88" s="30" t="str">
        <f>IF('Comptage Décadaire'!AA89&lt;&gt;"",VLOOKUP('Comptage Décadaire'!AA89,Nomenclature!$H$2:$I$31,2,FALSE),"")</f>
        <v/>
      </c>
      <c r="AA88" s="30" t="str">
        <f>IF('Comptage Décadaire'!AB89&lt;&gt;"",VLOOKUP('Comptage Décadaire'!AB89,Nomenclature!$J$2:$K$21,2,FALSE),"")</f>
        <v/>
      </c>
      <c r="AB88" s="30" t="str">
        <f>IF('Comptage Décadaire'!AC89&lt;&gt;"",VLOOKUP('Comptage Décadaire'!AC89,'Comptage Décadaire'!AC:AC,1,FALSE),"")</f>
        <v/>
      </c>
      <c r="AC88" s="32" t="str">
        <f>IF('Comptage Décadaire'!AD89&lt;&gt;"",VLOOKUP('Comptage Décadaire'!AD89,Nomenclature!$L$2:$M$8,2,FALSE),"")</f>
        <v/>
      </c>
      <c r="AD88" s="32" t="str">
        <f>IF('Comptage Décadaire'!AE89&lt;&gt;"",VLOOKUP('Comptage Décadaire'!AE89,Utilisateurs!$D$2:$F$81,3,FALSE),"")</f>
        <v/>
      </c>
      <c r="AE88" s="35" t="str">
        <f>IF('Comptage Décadaire'!AF89&lt;&gt;"",VLOOKUP('Comptage Décadaire'!AF89,'Comptage Décadaire'!AF:AF,1,FALSE),"")</f>
        <v/>
      </c>
      <c r="AF88" s="32" t="str">
        <f>IF('Comptage Décadaire'!AG89&lt;&gt;"",VLOOKUP('Comptage Décadaire'!AG89,'Comptage Décadaire'!AG:AG,1,FALSE),"")</f>
        <v/>
      </c>
    </row>
    <row r="89" spans="1:32" x14ac:dyDescent="0.25">
      <c r="A89" s="25" t="str">
        <f>IF('Comptage Décadaire'!A90&lt;&gt;"",VLOOKUP('Comptage Décadaire'!A90,'Comptage Décadaire'!A:A,1,FALSE),"")</f>
        <v/>
      </c>
      <c r="B89" s="27" t="str">
        <f>IF('Comptage Décadaire'!B90&lt;&gt;"",VLOOKUP('Comptage Décadaire'!B90,'Comptage Décadaire'!B:B,1,FALSE),"")</f>
        <v/>
      </c>
      <c r="C89" s="28" t="str">
        <f>IF('Comptage Décadaire'!C90&lt;&gt;"",VLOOKUP('Comptage Décadaire'!C90,'Comptage Décadaire'!C:C,1,FALSE),"")</f>
        <v/>
      </c>
      <c r="D89" s="29" t="str">
        <f>IF('Comptage Décadaire'!D90&lt;&gt;"",VLOOKUP('Comptage Décadaire'!D90,Sites!$A:$B,2,FALSE),"")</f>
        <v/>
      </c>
      <c r="E89" s="29" t="str">
        <f>IF('Comptage Décadaire'!E90&lt;&gt;"",VLOOKUP('Comptage Décadaire'!E90,'Comptage Décadaire'!E:E,1,FALSE),"")</f>
        <v/>
      </c>
      <c r="F89" s="29" t="str">
        <f>IF('Comptage Décadaire'!F90&lt;&gt;"",VLOOKUP('Comptage Décadaire'!F90,Nomenclature!$B$2:$C$4,2,FALSE),"")</f>
        <v/>
      </c>
      <c r="G89" s="29" t="str">
        <f>IF('Comptage Décadaire'!G90&lt;&gt;"",VLOOKUP('Comptage Décadaire'!G90,'Comptage Décadaire'!G:G,1,FALSE),"")</f>
        <v/>
      </c>
      <c r="H89" s="29" t="str">
        <f>IF('Comptage Décadaire'!H90&lt;&gt;"",VLOOKUP('Comptage Décadaire'!H90,Nomenclature!$D$2:$E$7,2,FALSE),"")</f>
        <v/>
      </c>
      <c r="I89" s="30" t="str">
        <f>IF('Comptage Décadaire'!J90&lt;&gt;"",VLOOKUP('Comptage Décadaire'!J90,'Comptage Décadaire'!J:J,1,FALSE),"")</f>
        <v/>
      </c>
      <c r="J89" s="30" t="str">
        <f>IF('Comptage Décadaire'!K90&lt;&gt;"",VLOOKUP('Comptage Décadaire'!K90,'Comptage Décadaire'!K:K,1,FALSE),"")</f>
        <v/>
      </c>
      <c r="K89" s="30" t="str">
        <f>IF('Comptage Décadaire'!L90&lt;&gt;"",VLOOKUP('Comptage Décadaire'!L90,'Comptage Décadaire'!L:L,1,FALSE),"")</f>
        <v/>
      </c>
      <c r="L89" s="31" t="str">
        <f>IF('Comptage Décadaire'!M90&lt;&gt;"",VLOOKUP('Comptage Décadaire'!M90,'Comptage Décadaire'!M:M,1,FALSE),"")</f>
        <v/>
      </c>
      <c r="M89" s="33" t="str">
        <f>IF('Comptage Décadaire'!N90&lt;&gt;"",VLOOKUP('Comptage Décadaire'!N90,Utilisateurs!$D:$F,3,FALSE),"")</f>
        <v/>
      </c>
      <c r="N89" s="33" t="str">
        <f>IF('Comptage Décadaire'!O90&lt;&gt;"",VLOOKUP('Comptage Décadaire'!O90,Utilisateurs!$D:$F,3,FALSE),"")</f>
        <v/>
      </c>
      <c r="O89" s="33" t="str">
        <f>IF('Comptage Décadaire'!P90&lt;&gt;"",VLOOKUP('Comptage Décadaire'!P90,Utilisateurs!$D:$F,3,FALSE),"")</f>
        <v/>
      </c>
      <c r="P89" s="33" t="str">
        <f>IF('Comptage Décadaire'!Q90&lt;&gt;"",VLOOKUP('Comptage Décadaire'!Q90,Utilisateurs!$D:$F,3,FALSE),"")</f>
        <v/>
      </c>
      <c r="Q89" s="33" t="str">
        <f>IF('Comptage Décadaire'!R90&lt;&gt;"",VLOOKUP('Comptage Décadaire'!R90,Utilisateurs!$D:$F,3,FALSE),"")</f>
        <v/>
      </c>
      <c r="R89" s="30" t="str">
        <f>IF('Comptage Décadaire'!S90&lt;&gt;"",VLOOKUP('Comptage Décadaire'!S90,Nomenclature!$N:$O,2,FALSE),"")</f>
        <v/>
      </c>
      <c r="S89" s="30" t="str">
        <f>IF('Comptage Décadaire'!T90&lt;&gt;"",VLOOKUP('Comptage Décadaire'!T90,'Comptage Décadaire'!T:T,1,FALSE),"")</f>
        <v/>
      </c>
      <c r="T89" s="30" t="str">
        <f>IF('Comptage Décadaire'!U90&lt;&gt;"",VLOOKUP('Comptage Décadaire'!U90,'Comptage Décadaire'!U:U,1,FALSE),"")</f>
        <v/>
      </c>
      <c r="U89" s="30" t="str">
        <f>IF('Comptage Décadaire'!V90&lt;&gt;"",VLOOKUP('Comptage Décadaire'!V90,'Comptage Décadaire'!V:V,1,FALSE),"")</f>
        <v/>
      </c>
      <c r="V89" s="30" t="str">
        <f>IF('Comptage Décadaire'!W90&lt;&gt;"",VLOOKUP('Comptage Décadaire'!W90,'Comptage Décadaire'!W:W,1,FALSE),"")</f>
        <v/>
      </c>
      <c r="W89" s="30" t="str">
        <f>IF('Comptage Décadaire'!X90&lt;&gt;"",VLOOKUP('Comptage Décadaire'!X90,'Comptage Décadaire'!X:X,1,FALSE),"")</f>
        <v/>
      </c>
      <c r="X89" s="30" t="str">
        <f>IF('Comptage Décadaire'!Y90&lt;&gt;"",VLOOKUP('Comptage Décadaire'!Y90,'Comptage Décadaire'!Y:Y,1,FALSE),"")</f>
        <v/>
      </c>
      <c r="Y89" s="30" t="str">
        <f>IF('Comptage Décadaire'!Z90&lt;&gt;"",VLOOKUP('Comptage Décadaire'!Z90,Nomenclature!$F$2:$G$7,2,FALSE),"")</f>
        <v/>
      </c>
      <c r="Z89" s="30" t="str">
        <f>IF('Comptage Décadaire'!AA90&lt;&gt;"",VLOOKUP('Comptage Décadaire'!AA90,Nomenclature!$H$2:$I$31,2,FALSE),"")</f>
        <v/>
      </c>
      <c r="AA89" s="30" t="str">
        <f>IF('Comptage Décadaire'!AB90&lt;&gt;"",VLOOKUP('Comptage Décadaire'!AB90,Nomenclature!$J$2:$K$21,2,FALSE),"")</f>
        <v/>
      </c>
      <c r="AB89" s="30" t="str">
        <f>IF('Comptage Décadaire'!AC90&lt;&gt;"",VLOOKUP('Comptage Décadaire'!AC90,'Comptage Décadaire'!AC:AC,1,FALSE),"")</f>
        <v/>
      </c>
      <c r="AC89" s="32" t="str">
        <f>IF('Comptage Décadaire'!AD90&lt;&gt;"",VLOOKUP('Comptage Décadaire'!AD90,Nomenclature!$L$2:$M$8,2,FALSE),"")</f>
        <v/>
      </c>
      <c r="AD89" s="32" t="str">
        <f>IF('Comptage Décadaire'!AE90&lt;&gt;"",VLOOKUP('Comptage Décadaire'!AE90,Utilisateurs!$D$2:$F$81,3,FALSE),"")</f>
        <v/>
      </c>
      <c r="AE89" s="35" t="str">
        <f>IF('Comptage Décadaire'!AF90&lt;&gt;"",VLOOKUP('Comptage Décadaire'!AF90,'Comptage Décadaire'!AF:AF,1,FALSE),"")</f>
        <v/>
      </c>
      <c r="AF89" s="32" t="str">
        <f>IF('Comptage Décadaire'!AG90&lt;&gt;"",VLOOKUP('Comptage Décadaire'!AG90,'Comptage Décadaire'!AG:AG,1,FALSE),"")</f>
        <v/>
      </c>
    </row>
    <row r="90" spans="1:32" x14ac:dyDescent="0.25">
      <c r="A90" s="25" t="str">
        <f>IF('Comptage Décadaire'!A91&lt;&gt;"",VLOOKUP('Comptage Décadaire'!A91,'Comptage Décadaire'!A:A,1,FALSE),"")</f>
        <v/>
      </c>
      <c r="B90" s="27" t="str">
        <f>IF('Comptage Décadaire'!B91&lt;&gt;"",VLOOKUP('Comptage Décadaire'!B91,'Comptage Décadaire'!B:B,1,FALSE),"")</f>
        <v/>
      </c>
      <c r="C90" s="28" t="str">
        <f>IF('Comptage Décadaire'!C91&lt;&gt;"",VLOOKUP('Comptage Décadaire'!C91,'Comptage Décadaire'!C:C,1,FALSE),"")</f>
        <v/>
      </c>
      <c r="D90" s="29" t="str">
        <f>IF('Comptage Décadaire'!D91&lt;&gt;"",VLOOKUP('Comptage Décadaire'!D91,Sites!$A:$B,2,FALSE),"")</f>
        <v/>
      </c>
      <c r="E90" s="29" t="str">
        <f>IF('Comptage Décadaire'!E91&lt;&gt;"",VLOOKUP('Comptage Décadaire'!E91,'Comptage Décadaire'!E:E,1,FALSE),"")</f>
        <v/>
      </c>
      <c r="F90" s="29" t="str">
        <f>IF('Comptage Décadaire'!F91&lt;&gt;"",VLOOKUP('Comptage Décadaire'!F91,Nomenclature!$B$2:$C$4,2,FALSE),"")</f>
        <v/>
      </c>
      <c r="G90" s="29" t="str">
        <f>IF('Comptage Décadaire'!G91&lt;&gt;"",VLOOKUP('Comptage Décadaire'!G91,'Comptage Décadaire'!G:G,1,FALSE),"")</f>
        <v/>
      </c>
      <c r="H90" s="29" t="str">
        <f>IF('Comptage Décadaire'!H91&lt;&gt;"",VLOOKUP('Comptage Décadaire'!H91,Nomenclature!$D$2:$E$7,2,FALSE),"")</f>
        <v/>
      </c>
      <c r="I90" s="30" t="str">
        <f>IF('Comptage Décadaire'!J91&lt;&gt;"",VLOOKUP('Comptage Décadaire'!J91,'Comptage Décadaire'!J:J,1,FALSE),"")</f>
        <v/>
      </c>
      <c r="J90" s="30" t="str">
        <f>IF('Comptage Décadaire'!K91&lt;&gt;"",VLOOKUP('Comptage Décadaire'!K91,'Comptage Décadaire'!K:K,1,FALSE),"")</f>
        <v/>
      </c>
      <c r="K90" s="30" t="str">
        <f>IF('Comptage Décadaire'!L91&lt;&gt;"",VLOOKUP('Comptage Décadaire'!L91,'Comptage Décadaire'!L:L,1,FALSE),"")</f>
        <v/>
      </c>
      <c r="L90" s="31" t="str">
        <f>IF('Comptage Décadaire'!M91&lt;&gt;"",VLOOKUP('Comptage Décadaire'!M91,'Comptage Décadaire'!M:M,1,FALSE),"")</f>
        <v/>
      </c>
      <c r="M90" s="33" t="str">
        <f>IF('Comptage Décadaire'!N91&lt;&gt;"",VLOOKUP('Comptage Décadaire'!N91,Utilisateurs!$D:$F,3,FALSE),"")</f>
        <v/>
      </c>
      <c r="N90" s="33" t="str">
        <f>IF('Comptage Décadaire'!O91&lt;&gt;"",VLOOKUP('Comptage Décadaire'!O91,Utilisateurs!$D:$F,3,FALSE),"")</f>
        <v/>
      </c>
      <c r="O90" s="33" t="str">
        <f>IF('Comptage Décadaire'!P91&lt;&gt;"",VLOOKUP('Comptage Décadaire'!P91,Utilisateurs!$D:$F,3,FALSE),"")</f>
        <v/>
      </c>
      <c r="P90" s="33" t="str">
        <f>IF('Comptage Décadaire'!Q91&lt;&gt;"",VLOOKUP('Comptage Décadaire'!Q91,Utilisateurs!$D:$F,3,FALSE),"")</f>
        <v/>
      </c>
      <c r="Q90" s="33" t="str">
        <f>IF('Comptage Décadaire'!R91&lt;&gt;"",VLOOKUP('Comptage Décadaire'!R91,Utilisateurs!$D:$F,3,FALSE),"")</f>
        <v/>
      </c>
      <c r="R90" s="30" t="str">
        <f>IF('Comptage Décadaire'!S91&lt;&gt;"",VLOOKUP('Comptage Décadaire'!S91,Nomenclature!$N:$O,2,FALSE),"")</f>
        <v/>
      </c>
      <c r="S90" s="30" t="str">
        <f>IF('Comptage Décadaire'!T91&lt;&gt;"",VLOOKUP('Comptage Décadaire'!T91,'Comptage Décadaire'!T:T,1,FALSE),"")</f>
        <v/>
      </c>
      <c r="T90" s="30" t="str">
        <f>IF('Comptage Décadaire'!U91&lt;&gt;"",VLOOKUP('Comptage Décadaire'!U91,'Comptage Décadaire'!U:U,1,FALSE),"")</f>
        <v/>
      </c>
      <c r="U90" s="30" t="str">
        <f>IF('Comptage Décadaire'!V91&lt;&gt;"",VLOOKUP('Comptage Décadaire'!V91,'Comptage Décadaire'!V:V,1,FALSE),"")</f>
        <v/>
      </c>
      <c r="V90" s="30" t="str">
        <f>IF('Comptage Décadaire'!W91&lt;&gt;"",VLOOKUP('Comptage Décadaire'!W91,'Comptage Décadaire'!W:W,1,FALSE),"")</f>
        <v/>
      </c>
      <c r="W90" s="30" t="str">
        <f>IF('Comptage Décadaire'!X91&lt;&gt;"",VLOOKUP('Comptage Décadaire'!X91,'Comptage Décadaire'!X:X,1,FALSE),"")</f>
        <v/>
      </c>
      <c r="X90" s="30" t="str">
        <f>IF('Comptage Décadaire'!Y91&lt;&gt;"",VLOOKUP('Comptage Décadaire'!Y91,'Comptage Décadaire'!Y:Y,1,FALSE),"")</f>
        <v/>
      </c>
      <c r="Y90" s="30" t="str">
        <f>IF('Comptage Décadaire'!Z91&lt;&gt;"",VLOOKUP('Comptage Décadaire'!Z91,Nomenclature!$F$2:$G$7,2,FALSE),"")</f>
        <v/>
      </c>
      <c r="Z90" s="30" t="str">
        <f>IF('Comptage Décadaire'!AA91&lt;&gt;"",VLOOKUP('Comptage Décadaire'!AA91,Nomenclature!$H$2:$I$31,2,FALSE),"")</f>
        <v/>
      </c>
      <c r="AA90" s="30" t="str">
        <f>IF('Comptage Décadaire'!AB91&lt;&gt;"",VLOOKUP('Comptage Décadaire'!AB91,Nomenclature!$J$2:$K$21,2,FALSE),"")</f>
        <v/>
      </c>
      <c r="AB90" s="30" t="str">
        <f>IF('Comptage Décadaire'!AC91&lt;&gt;"",VLOOKUP('Comptage Décadaire'!AC91,'Comptage Décadaire'!AC:AC,1,FALSE),"")</f>
        <v/>
      </c>
      <c r="AC90" s="32" t="str">
        <f>IF('Comptage Décadaire'!AD91&lt;&gt;"",VLOOKUP('Comptage Décadaire'!AD91,Nomenclature!$L$2:$M$8,2,FALSE),"")</f>
        <v/>
      </c>
      <c r="AD90" s="32" t="str">
        <f>IF('Comptage Décadaire'!AE91&lt;&gt;"",VLOOKUP('Comptage Décadaire'!AE91,Utilisateurs!$D$2:$F$81,3,FALSE),"")</f>
        <v/>
      </c>
      <c r="AE90" s="35" t="str">
        <f>IF('Comptage Décadaire'!AF91&lt;&gt;"",VLOOKUP('Comptage Décadaire'!AF91,'Comptage Décadaire'!AF:AF,1,FALSE),"")</f>
        <v/>
      </c>
      <c r="AF90" s="32" t="str">
        <f>IF('Comptage Décadaire'!AG91&lt;&gt;"",VLOOKUP('Comptage Décadaire'!AG91,'Comptage Décadaire'!AG:AG,1,FALSE),"")</f>
        <v/>
      </c>
    </row>
    <row r="91" spans="1:32" x14ac:dyDescent="0.25">
      <c r="A91" s="25" t="str">
        <f>IF('Comptage Décadaire'!A92&lt;&gt;"",VLOOKUP('Comptage Décadaire'!A92,'Comptage Décadaire'!A:A,1,FALSE),"")</f>
        <v/>
      </c>
      <c r="B91" s="27" t="str">
        <f>IF('Comptage Décadaire'!B92&lt;&gt;"",VLOOKUP('Comptage Décadaire'!B92,'Comptage Décadaire'!B:B,1,FALSE),"")</f>
        <v/>
      </c>
      <c r="C91" s="28" t="str">
        <f>IF('Comptage Décadaire'!C92&lt;&gt;"",VLOOKUP('Comptage Décadaire'!C92,'Comptage Décadaire'!C:C,1,FALSE),"")</f>
        <v/>
      </c>
      <c r="D91" s="29" t="str">
        <f>IF('Comptage Décadaire'!D92&lt;&gt;"",VLOOKUP('Comptage Décadaire'!D92,Sites!$A:$B,2,FALSE),"")</f>
        <v/>
      </c>
      <c r="E91" s="29" t="str">
        <f>IF('Comptage Décadaire'!E92&lt;&gt;"",VLOOKUP('Comptage Décadaire'!E92,'Comptage Décadaire'!E:E,1,FALSE),"")</f>
        <v/>
      </c>
      <c r="F91" s="29" t="str">
        <f>IF('Comptage Décadaire'!F92&lt;&gt;"",VLOOKUP('Comptage Décadaire'!F92,Nomenclature!$B$2:$C$4,2,FALSE),"")</f>
        <v/>
      </c>
      <c r="G91" s="29" t="str">
        <f>IF('Comptage Décadaire'!G92&lt;&gt;"",VLOOKUP('Comptage Décadaire'!G92,'Comptage Décadaire'!G:G,1,FALSE),"")</f>
        <v/>
      </c>
      <c r="H91" s="29" t="str">
        <f>IF('Comptage Décadaire'!H92&lt;&gt;"",VLOOKUP('Comptage Décadaire'!H92,Nomenclature!$D$2:$E$7,2,FALSE),"")</f>
        <v/>
      </c>
      <c r="I91" s="30" t="str">
        <f>IF('Comptage Décadaire'!J92&lt;&gt;"",VLOOKUP('Comptage Décadaire'!J92,'Comptage Décadaire'!J:J,1,FALSE),"")</f>
        <v/>
      </c>
      <c r="J91" s="30" t="str">
        <f>IF('Comptage Décadaire'!K92&lt;&gt;"",VLOOKUP('Comptage Décadaire'!K92,'Comptage Décadaire'!K:K,1,FALSE),"")</f>
        <v/>
      </c>
      <c r="K91" s="30" t="str">
        <f>IF('Comptage Décadaire'!L92&lt;&gt;"",VLOOKUP('Comptage Décadaire'!L92,'Comptage Décadaire'!L:L,1,FALSE),"")</f>
        <v/>
      </c>
      <c r="L91" s="31" t="str">
        <f>IF('Comptage Décadaire'!M92&lt;&gt;"",VLOOKUP('Comptage Décadaire'!M92,'Comptage Décadaire'!M:M,1,FALSE),"")</f>
        <v/>
      </c>
      <c r="M91" s="33" t="str">
        <f>IF('Comptage Décadaire'!N92&lt;&gt;"",VLOOKUP('Comptage Décadaire'!N92,Utilisateurs!$D:$F,3,FALSE),"")</f>
        <v/>
      </c>
      <c r="N91" s="33" t="str">
        <f>IF('Comptage Décadaire'!O92&lt;&gt;"",VLOOKUP('Comptage Décadaire'!O92,Utilisateurs!$D:$F,3,FALSE),"")</f>
        <v/>
      </c>
      <c r="O91" s="33" t="str">
        <f>IF('Comptage Décadaire'!P92&lt;&gt;"",VLOOKUP('Comptage Décadaire'!P92,Utilisateurs!$D:$F,3,FALSE),"")</f>
        <v/>
      </c>
      <c r="P91" s="33" t="str">
        <f>IF('Comptage Décadaire'!Q92&lt;&gt;"",VLOOKUP('Comptage Décadaire'!Q92,Utilisateurs!$D:$F,3,FALSE),"")</f>
        <v/>
      </c>
      <c r="Q91" s="33" t="str">
        <f>IF('Comptage Décadaire'!R92&lt;&gt;"",VLOOKUP('Comptage Décadaire'!R92,Utilisateurs!$D:$F,3,FALSE),"")</f>
        <v/>
      </c>
      <c r="R91" s="30" t="str">
        <f>IF('Comptage Décadaire'!S92&lt;&gt;"",VLOOKUP('Comptage Décadaire'!S92,Nomenclature!$N:$O,2,FALSE),"")</f>
        <v/>
      </c>
      <c r="S91" s="30" t="str">
        <f>IF('Comptage Décadaire'!T92&lt;&gt;"",VLOOKUP('Comptage Décadaire'!T92,'Comptage Décadaire'!T:T,1,FALSE),"")</f>
        <v/>
      </c>
      <c r="T91" s="30" t="str">
        <f>IF('Comptage Décadaire'!U92&lt;&gt;"",VLOOKUP('Comptage Décadaire'!U92,'Comptage Décadaire'!U:U,1,FALSE),"")</f>
        <v/>
      </c>
      <c r="U91" s="30" t="str">
        <f>IF('Comptage Décadaire'!V92&lt;&gt;"",VLOOKUP('Comptage Décadaire'!V92,'Comptage Décadaire'!V:V,1,FALSE),"")</f>
        <v/>
      </c>
      <c r="V91" s="30" t="str">
        <f>IF('Comptage Décadaire'!W92&lt;&gt;"",VLOOKUP('Comptage Décadaire'!W92,'Comptage Décadaire'!W:W,1,FALSE),"")</f>
        <v/>
      </c>
      <c r="W91" s="30" t="str">
        <f>IF('Comptage Décadaire'!X92&lt;&gt;"",VLOOKUP('Comptage Décadaire'!X92,'Comptage Décadaire'!X:X,1,FALSE),"")</f>
        <v/>
      </c>
      <c r="X91" s="30" t="str">
        <f>IF('Comptage Décadaire'!Y92&lt;&gt;"",VLOOKUP('Comptage Décadaire'!Y92,'Comptage Décadaire'!Y:Y,1,FALSE),"")</f>
        <v/>
      </c>
      <c r="Y91" s="30" t="str">
        <f>IF('Comptage Décadaire'!Z92&lt;&gt;"",VLOOKUP('Comptage Décadaire'!Z92,Nomenclature!$F$2:$G$7,2,FALSE),"")</f>
        <v/>
      </c>
      <c r="Z91" s="30" t="str">
        <f>IF('Comptage Décadaire'!AA92&lt;&gt;"",VLOOKUP('Comptage Décadaire'!AA92,Nomenclature!$H$2:$I$31,2,FALSE),"")</f>
        <v/>
      </c>
      <c r="AA91" s="30" t="str">
        <f>IF('Comptage Décadaire'!AB92&lt;&gt;"",VLOOKUP('Comptage Décadaire'!AB92,Nomenclature!$J$2:$K$21,2,FALSE),"")</f>
        <v/>
      </c>
      <c r="AB91" s="30" t="str">
        <f>IF('Comptage Décadaire'!AC92&lt;&gt;"",VLOOKUP('Comptage Décadaire'!AC92,'Comptage Décadaire'!AC:AC,1,FALSE),"")</f>
        <v/>
      </c>
      <c r="AC91" s="32" t="str">
        <f>IF('Comptage Décadaire'!AD92&lt;&gt;"",VLOOKUP('Comptage Décadaire'!AD92,Nomenclature!$L$2:$M$8,2,FALSE),"")</f>
        <v/>
      </c>
      <c r="AD91" s="32" t="str">
        <f>IF('Comptage Décadaire'!AE92&lt;&gt;"",VLOOKUP('Comptage Décadaire'!AE92,Utilisateurs!$D$2:$F$81,3,FALSE),"")</f>
        <v/>
      </c>
      <c r="AE91" s="35" t="str">
        <f>IF('Comptage Décadaire'!AF92&lt;&gt;"",VLOOKUP('Comptage Décadaire'!AF92,'Comptage Décadaire'!AF:AF,1,FALSE),"")</f>
        <v/>
      </c>
      <c r="AF91" s="32" t="str">
        <f>IF('Comptage Décadaire'!AG92&lt;&gt;"",VLOOKUP('Comptage Décadaire'!AG92,'Comptage Décadaire'!AG:AG,1,FALSE),"")</f>
        <v/>
      </c>
    </row>
    <row r="92" spans="1:32" x14ac:dyDescent="0.25">
      <c r="A92" s="25" t="str">
        <f>IF('Comptage Décadaire'!A93&lt;&gt;"",VLOOKUP('Comptage Décadaire'!A93,'Comptage Décadaire'!A:A,1,FALSE),"")</f>
        <v/>
      </c>
      <c r="B92" s="27" t="str">
        <f>IF('Comptage Décadaire'!B93&lt;&gt;"",VLOOKUP('Comptage Décadaire'!B93,'Comptage Décadaire'!B:B,1,FALSE),"")</f>
        <v/>
      </c>
      <c r="C92" s="28" t="str">
        <f>IF('Comptage Décadaire'!C93&lt;&gt;"",VLOOKUP('Comptage Décadaire'!C93,'Comptage Décadaire'!C:C,1,FALSE),"")</f>
        <v/>
      </c>
      <c r="D92" s="29" t="str">
        <f>IF('Comptage Décadaire'!D93&lt;&gt;"",VLOOKUP('Comptage Décadaire'!D93,Sites!$A:$B,2,FALSE),"")</f>
        <v/>
      </c>
      <c r="E92" s="29" t="str">
        <f>IF('Comptage Décadaire'!E93&lt;&gt;"",VLOOKUP('Comptage Décadaire'!E93,'Comptage Décadaire'!E:E,1,FALSE),"")</f>
        <v/>
      </c>
      <c r="F92" s="29" t="str">
        <f>IF('Comptage Décadaire'!F93&lt;&gt;"",VLOOKUP('Comptage Décadaire'!F93,Nomenclature!$B$2:$C$4,2,FALSE),"")</f>
        <v/>
      </c>
      <c r="G92" s="29" t="str">
        <f>IF('Comptage Décadaire'!G93&lt;&gt;"",VLOOKUP('Comptage Décadaire'!G93,'Comptage Décadaire'!G:G,1,FALSE),"")</f>
        <v/>
      </c>
      <c r="H92" s="29" t="str">
        <f>IF('Comptage Décadaire'!H93&lt;&gt;"",VLOOKUP('Comptage Décadaire'!H93,Nomenclature!$D$2:$E$7,2,FALSE),"")</f>
        <v/>
      </c>
      <c r="I92" s="30" t="str">
        <f>IF('Comptage Décadaire'!J93&lt;&gt;"",VLOOKUP('Comptage Décadaire'!J93,'Comptage Décadaire'!J:J,1,FALSE),"")</f>
        <v/>
      </c>
      <c r="J92" s="30" t="str">
        <f>IF('Comptage Décadaire'!K93&lt;&gt;"",VLOOKUP('Comptage Décadaire'!K93,'Comptage Décadaire'!K:K,1,FALSE),"")</f>
        <v/>
      </c>
      <c r="K92" s="30" t="str">
        <f>IF('Comptage Décadaire'!L93&lt;&gt;"",VLOOKUP('Comptage Décadaire'!L93,'Comptage Décadaire'!L:L,1,FALSE),"")</f>
        <v/>
      </c>
      <c r="L92" s="31" t="str">
        <f>IF('Comptage Décadaire'!M93&lt;&gt;"",VLOOKUP('Comptage Décadaire'!M93,'Comptage Décadaire'!M:M,1,FALSE),"")</f>
        <v/>
      </c>
      <c r="M92" s="33" t="str">
        <f>IF('Comptage Décadaire'!N93&lt;&gt;"",VLOOKUP('Comptage Décadaire'!N93,Utilisateurs!$D:$F,3,FALSE),"")</f>
        <v/>
      </c>
      <c r="N92" s="33" t="str">
        <f>IF('Comptage Décadaire'!O93&lt;&gt;"",VLOOKUP('Comptage Décadaire'!O93,Utilisateurs!$D:$F,3,FALSE),"")</f>
        <v/>
      </c>
      <c r="O92" s="33" t="str">
        <f>IF('Comptage Décadaire'!P93&lt;&gt;"",VLOOKUP('Comptage Décadaire'!P93,Utilisateurs!$D:$F,3,FALSE),"")</f>
        <v/>
      </c>
      <c r="P92" s="33" t="str">
        <f>IF('Comptage Décadaire'!Q93&lt;&gt;"",VLOOKUP('Comptage Décadaire'!Q93,Utilisateurs!$D:$F,3,FALSE),"")</f>
        <v/>
      </c>
      <c r="Q92" s="33" t="str">
        <f>IF('Comptage Décadaire'!R93&lt;&gt;"",VLOOKUP('Comptage Décadaire'!R93,Utilisateurs!$D:$F,3,FALSE),"")</f>
        <v/>
      </c>
      <c r="R92" s="30" t="str">
        <f>IF('Comptage Décadaire'!S93&lt;&gt;"",VLOOKUP('Comptage Décadaire'!S93,Nomenclature!$N:$O,2,FALSE),"")</f>
        <v/>
      </c>
      <c r="S92" s="30" t="str">
        <f>IF('Comptage Décadaire'!T93&lt;&gt;"",VLOOKUP('Comptage Décadaire'!T93,'Comptage Décadaire'!T:T,1,FALSE),"")</f>
        <v/>
      </c>
      <c r="T92" s="30" t="str">
        <f>IF('Comptage Décadaire'!U93&lt;&gt;"",VLOOKUP('Comptage Décadaire'!U93,'Comptage Décadaire'!U:U,1,FALSE),"")</f>
        <v/>
      </c>
      <c r="U92" s="30" t="str">
        <f>IF('Comptage Décadaire'!V93&lt;&gt;"",VLOOKUP('Comptage Décadaire'!V93,'Comptage Décadaire'!V:V,1,FALSE),"")</f>
        <v/>
      </c>
      <c r="V92" s="30" t="str">
        <f>IF('Comptage Décadaire'!W93&lt;&gt;"",VLOOKUP('Comptage Décadaire'!W93,'Comptage Décadaire'!W:W,1,FALSE),"")</f>
        <v/>
      </c>
      <c r="W92" s="30" t="str">
        <f>IF('Comptage Décadaire'!X93&lt;&gt;"",VLOOKUP('Comptage Décadaire'!X93,'Comptage Décadaire'!X:X,1,FALSE),"")</f>
        <v/>
      </c>
      <c r="X92" s="30" t="str">
        <f>IF('Comptage Décadaire'!Y93&lt;&gt;"",VLOOKUP('Comptage Décadaire'!Y93,'Comptage Décadaire'!Y:Y,1,FALSE),"")</f>
        <v/>
      </c>
      <c r="Y92" s="30" t="str">
        <f>IF('Comptage Décadaire'!Z93&lt;&gt;"",VLOOKUP('Comptage Décadaire'!Z93,Nomenclature!$F$2:$G$7,2,FALSE),"")</f>
        <v/>
      </c>
      <c r="Z92" s="30" t="str">
        <f>IF('Comptage Décadaire'!AA93&lt;&gt;"",VLOOKUP('Comptage Décadaire'!AA93,Nomenclature!$H$2:$I$31,2,FALSE),"")</f>
        <v/>
      </c>
      <c r="AA92" s="30" t="str">
        <f>IF('Comptage Décadaire'!AB93&lt;&gt;"",VLOOKUP('Comptage Décadaire'!AB93,Nomenclature!$J$2:$K$21,2,FALSE),"")</f>
        <v/>
      </c>
      <c r="AB92" s="30" t="str">
        <f>IF('Comptage Décadaire'!AC93&lt;&gt;"",VLOOKUP('Comptage Décadaire'!AC93,'Comptage Décadaire'!AC:AC,1,FALSE),"")</f>
        <v/>
      </c>
      <c r="AC92" s="32" t="str">
        <f>IF('Comptage Décadaire'!AD93&lt;&gt;"",VLOOKUP('Comptage Décadaire'!AD93,Nomenclature!$L$2:$M$8,2,FALSE),"")</f>
        <v/>
      </c>
      <c r="AD92" s="32" t="str">
        <f>IF('Comptage Décadaire'!AE93&lt;&gt;"",VLOOKUP('Comptage Décadaire'!AE93,Utilisateurs!$D$2:$F$81,3,FALSE),"")</f>
        <v/>
      </c>
      <c r="AE92" s="35" t="str">
        <f>IF('Comptage Décadaire'!AF93&lt;&gt;"",VLOOKUP('Comptage Décadaire'!AF93,'Comptage Décadaire'!AF:AF,1,FALSE),"")</f>
        <v/>
      </c>
      <c r="AF92" s="32" t="str">
        <f>IF('Comptage Décadaire'!AG93&lt;&gt;"",VLOOKUP('Comptage Décadaire'!AG93,'Comptage Décadaire'!AG:AG,1,FALSE),"")</f>
        <v/>
      </c>
    </row>
    <row r="93" spans="1:32" x14ac:dyDescent="0.25">
      <c r="A93" s="25" t="str">
        <f>IF('Comptage Décadaire'!A94&lt;&gt;"",VLOOKUP('Comptage Décadaire'!A94,'Comptage Décadaire'!A:A,1,FALSE),"")</f>
        <v/>
      </c>
      <c r="B93" s="27" t="str">
        <f>IF('Comptage Décadaire'!B94&lt;&gt;"",VLOOKUP('Comptage Décadaire'!B94,'Comptage Décadaire'!B:B,1,FALSE),"")</f>
        <v/>
      </c>
      <c r="C93" s="28" t="str">
        <f>IF('Comptage Décadaire'!C94&lt;&gt;"",VLOOKUP('Comptage Décadaire'!C94,'Comptage Décadaire'!C:C,1,FALSE),"")</f>
        <v/>
      </c>
      <c r="D93" s="29" t="str">
        <f>IF('Comptage Décadaire'!D94&lt;&gt;"",VLOOKUP('Comptage Décadaire'!D94,Sites!$A:$B,2,FALSE),"")</f>
        <v/>
      </c>
      <c r="E93" s="29" t="str">
        <f>IF('Comptage Décadaire'!E94&lt;&gt;"",VLOOKUP('Comptage Décadaire'!E94,'Comptage Décadaire'!E:E,1,FALSE),"")</f>
        <v/>
      </c>
      <c r="F93" s="29" t="str">
        <f>IF('Comptage Décadaire'!F94&lt;&gt;"",VLOOKUP('Comptage Décadaire'!F94,Nomenclature!$B$2:$C$4,2,FALSE),"")</f>
        <v/>
      </c>
      <c r="G93" s="29" t="str">
        <f>IF('Comptage Décadaire'!G94&lt;&gt;"",VLOOKUP('Comptage Décadaire'!G94,'Comptage Décadaire'!G:G,1,FALSE),"")</f>
        <v/>
      </c>
      <c r="H93" s="29" t="str">
        <f>IF('Comptage Décadaire'!H94&lt;&gt;"",VLOOKUP('Comptage Décadaire'!H94,Nomenclature!$D$2:$E$7,2,FALSE),"")</f>
        <v/>
      </c>
      <c r="I93" s="30" t="str">
        <f>IF('Comptage Décadaire'!J94&lt;&gt;"",VLOOKUP('Comptage Décadaire'!J94,'Comptage Décadaire'!J:J,1,FALSE),"")</f>
        <v/>
      </c>
      <c r="J93" s="30" t="str">
        <f>IF('Comptage Décadaire'!K94&lt;&gt;"",VLOOKUP('Comptage Décadaire'!K94,'Comptage Décadaire'!K:K,1,FALSE),"")</f>
        <v/>
      </c>
      <c r="K93" s="30" t="str">
        <f>IF('Comptage Décadaire'!L94&lt;&gt;"",VLOOKUP('Comptage Décadaire'!L94,'Comptage Décadaire'!L:L,1,FALSE),"")</f>
        <v/>
      </c>
      <c r="L93" s="31" t="str">
        <f>IF('Comptage Décadaire'!M94&lt;&gt;"",VLOOKUP('Comptage Décadaire'!M94,'Comptage Décadaire'!M:M,1,FALSE),"")</f>
        <v/>
      </c>
      <c r="M93" s="33" t="str">
        <f>IF('Comptage Décadaire'!N94&lt;&gt;"",VLOOKUP('Comptage Décadaire'!N94,Utilisateurs!$D:$F,3,FALSE),"")</f>
        <v/>
      </c>
      <c r="N93" s="33" t="str">
        <f>IF('Comptage Décadaire'!O94&lt;&gt;"",VLOOKUP('Comptage Décadaire'!O94,Utilisateurs!$D:$F,3,FALSE),"")</f>
        <v/>
      </c>
      <c r="O93" s="33" t="str">
        <f>IF('Comptage Décadaire'!P94&lt;&gt;"",VLOOKUP('Comptage Décadaire'!P94,Utilisateurs!$D:$F,3,FALSE),"")</f>
        <v/>
      </c>
      <c r="P93" s="33" t="str">
        <f>IF('Comptage Décadaire'!Q94&lt;&gt;"",VLOOKUP('Comptage Décadaire'!Q94,Utilisateurs!$D:$F,3,FALSE),"")</f>
        <v/>
      </c>
      <c r="Q93" s="33" t="str">
        <f>IF('Comptage Décadaire'!R94&lt;&gt;"",VLOOKUP('Comptage Décadaire'!R94,Utilisateurs!$D:$F,3,FALSE),"")</f>
        <v/>
      </c>
      <c r="R93" s="30" t="str">
        <f>IF('Comptage Décadaire'!S94&lt;&gt;"",VLOOKUP('Comptage Décadaire'!S94,Nomenclature!$N:$O,2,FALSE),"")</f>
        <v/>
      </c>
      <c r="S93" s="30" t="str">
        <f>IF('Comptage Décadaire'!T94&lt;&gt;"",VLOOKUP('Comptage Décadaire'!T94,'Comptage Décadaire'!T:T,1,FALSE),"")</f>
        <v/>
      </c>
      <c r="T93" s="30" t="str">
        <f>IF('Comptage Décadaire'!U94&lt;&gt;"",VLOOKUP('Comptage Décadaire'!U94,'Comptage Décadaire'!U:U,1,FALSE),"")</f>
        <v/>
      </c>
      <c r="U93" s="30" t="str">
        <f>IF('Comptage Décadaire'!V94&lt;&gt;"",VLOOKUP('Comptage Décadaire'!V94,'Comptage Décadaire'!V:V,1,FALSE),"")</f>
        <v/>
      </c>
      <c r="V93" s="30" t="str">
        <f>IF('Comptage Décadaire'!W94&lt;&gt;"",VLOOKUP('Comptage Décadaire'!W94,'Comptage Décadaire'!W:W,1,FALSE),"")</f>
        <v/>
      </c>
      <c r="W93" s="30" t="str">
        <f>IF('Comptage Décadaire'!X94&lt;&gt;"",VLOOKUP('Comptage Décadaire'!X94,'Comptage Décadaire'!X:X,1,FALSE),"")</f>
        <v/>
      </c>
      <c r="X93" s="30" t="str">
        <f>IF('Comptage Décadaire'!Y94&lt;&gt;"",VLOOKUP('Comptage Décadaire'!Y94,'Comptage Décadaire'!Y:Y,1,FALSE),"")</f>
        <v/>
      </c>
      <c r="Y93" s="30" t="str">
        <f>IF('Comptage Décadaire'!Z94&lt;&gt;"",VLOOKUP('Comptage Décadaire'!Z94,Nomenclature!$F$2:$G$7,2,FALSE),"")</f>
        <v/>
      </c>
      <c r="Z93" s="30" t="str">
        <f>IF('Comptage Décadaire'!AA94&lt;&gt;"",VLOOKUP('Comptage Décadaire'!AA94,Nomenclature!$H$2:$I$31,2,FALSE),"")</f>
        <v/>
      </c>
      <c r="AA93" s="30" t="str">
        <f>IF('Comptage Décadaire'!AB94&lt;&gt;"",VLOOKUP('Comptage Décadaire'!AB94,Nomenclature!$J$2:$K$21,2,FALSE),"")</f>
        <v/>
      </c>
      <c r="AB93" s="30" t="str">
        <f>IF('Comptage Décadaire'!AC94&lt;&gt;"",VLOOKUP('Comptage Décadaire'!AC94,'Comptage Décadaire'!AC:AC,1,FALSE),"")</f>
        <v/>
      </c>
      <c r="AC93" s="32" t="str">
        <f>IF('Comptage Décadaire'!AD94&lt;&gt;"",VLOOKUP('Comptage Décadaire'!AD94,Nomenclature!$L$2:$M$8,2,FALSE),"")</f>
        <v/>
      </c>
      <c r="AD93" s="32" t="str">
        <f>IF('Comptage Décadaire'!AE94&lt;&gt;"",VLOOKUP('Comptage Décadaire'!AE94,Utilisateurs!$D$2:$F$81,3,FALSE),"")</f>
        <v/>
      </c>
      <c r="AE93" s="35" t="str">
        <f>IF('Comptage Décadaire'!AF94&lt;&gt;"",VLOOKUP('Comptage Décadaire'!AF94,'Comptage Décadaire'!AF:AF,1,FALSE),"")</f>
        <v/>
      </c>
      <c r="AF93" s="32" t="str">
        <f>IF('Comptage Décadaire'!AG94&lt;&gt;"",VLOOKUP('Comptage Décadaire'!AG94,'Comptage Décadaire'!AG:AG,1,FALSE),"")</f>
        <v/>
      </c>
    </row>
    <row r="94" spans="1:32" x14ac:dyDescent="0.25">
      <c r="A94" s="25" t="str">
        <f>IF('Comptage Décadaire'!A95&lt;&gt;"",VLOOKUP('Comptage Décadaire'!A95,'Comptage Décadaire'!A:A,1,FALSE),"")</f>
        <v/>
      </c>
      <c r="B94" s="27" t="str">
        <f>IF('Comptage Décadaire'!B95&lt;&gt;"",VLOOKUP('Comptage Décadaire'!B95,'Comptage Décadaire'!B:B,1,FALSE),"")</f>
        <v/>
      </c>
      <c r="C94" s="28" t="str">
        <f>IF('Comptage Décadaire'!C95&lt;&gt;"",VLOOKUP('Comptage Décadaire'!C95,'Comptage Décadaire'!C:C,1,FALSE),"")</f>
        <v/>
      </c>
      <c r="D94" s="29" t="str">
        <f>IF('Comptage Décadaire'!D95&lt;&gt;"",VLOOKUP('Comptage Décadaire'!D95,Sites!$A:$B,2,FALSE),"")</f>
        <v/>
      </c>
      <c r="E94" s="29" t="str">
        <f>IF('Comptage Décadaire'!E95&lt;&gt;"",VLOOKUP('Comptage Décadaire'!E95,'Comptage Décadaire'!E:E,1,FALSE),"")</f>
        <v/>
      </c>
      <c r="F94" s="29" t="str">
        <f>IF('Comptage Décadaire'!F95&lt;&gt;"",VLOOKUP('Comptage Décadaire'!F95,Nomenclature!$B$2:$C$4,2,FALSE),"")</f>
        <v/>
      </c>
      <c r="G94" s="29" t="str">
        <f>IF('Comptage Décadaire'!G95&lt;&gt;"",VLOOKUP('Comptage Décadaire'!G95,'Comptage Décadaire'!G:G,1,FALSE),"")</f>
        <v/>
      </c>
      <c r="H94" s="29" t="str">
        <f>IF('Comptage Décadaire'!H95&lt;&gt;"",VLOOKUP('Comptage Décadaire'!H95,Nomenclature!$D$2:$E$7,2,FALSE),"")</f>
        <v/>
      </c>
      <c r="I94" s="30" t="str">
        <f>IF('Comptage Décadaire'!J95&lt;&gt;"",VLOOKUP('Comptage Décadaire'!J95,'Comptage Décadaire'!J:J,1,FALSE),"")</f>
        <v/>
      </c>
      <c r="J94" s="30" t="str">
        <f>IF('Comptage Décadaire'!K95&lt;&gt;"",VLOOKUP('Comptage Décadaire'!K95,'Comptage Décadaire'!K:K,1,FALSE),"")</f>
        <v/>
      </c>
      <c r="K94" s="30" t="str">
        <f>IF('Comptage Décadaire'!L95&lt;&gt;"",VLOOKUP('Comptage Décadaire'!L95,'Comptage Décadaire'!L:L,1,FALSE),"")</f>
        <v/>
      </c>
      <c r="L94" s="31" t="str">
        <f>IF('Comptage Décadaire'!M95&lt;&gt;"",VLOOKUP('Comptage Décadaire'!M95,'Comptage Décadaire'!M:M,1,FALSE),"")</f>
        <v/>
      </c>
      <c r="M94" s="33" t="str">
        <f>IF('Comptage Décadaire'!N95&lt;&gt;"",VLOOKUP('Comptage Décadaire'!N95,Utilisateurs!$D:$F,3,FALSE),"")</f>
        <v/>
      </c>
      <c r="N94" s="33" t="str">
        <f>IF('Comptage Décadaire'!O95&lt;&gt;"",VLOOKUP('Comptage Décadaire'!O95,Utilisateurs!$D:$F,3,FALSE),"")</f>
        <v/>
      </c>
      <c r="O94" s="33" t="str">
        <f>IF('Comptage Décadaire'!P95&lt;&gt;"",VLOOKUP('Comptage Décadaire'!P95,Utilisateurs!$D:$F,3,FALSE),"")</f>
        <v/>
      </c>
      <c r="P94" s="33" t="str">
        <f>IF('Comptage Décadaire'!Q95&lt;&gt;"",VLOOKUP('Comptage Décadaire'!Q95,Utilisateurs!$D:$F,3,FALSE),"")</f>
        <v/>
      </c>
      <c r="Q94" s="33" t="str">
        <f>IF('Comptage Décadaire'!R95&lt;&gt;"",VLOOKUP('Comptage Décadaire'!R95,Utilisateurs!$D:$F,3,FALSE),"")</f>
        <v/>
      </c>
      <c r="R94" s="30" t="str">
        <f>IF('Comptage Décadaire'!S95&lt;&gt;"",VLOOKUP('Comptage Décadaire'!S95,Nomenclature!$N:$O,2,FALSE),"")</f>
        <v/>
      </c>
      <c r="S94" s="30" t="str">
        <f>IF('Comptage Décadaire'!T95&lt;&gt;"",VLOOKUP('Comptage Décadaire'!T95,'Comptage Décadaire'!T:T,1,FALSE),"")</f>
        <v/>
      </c>
      <c r="T94" s="30" t="str">
        <f>IF('Comptage Décadaire'!U95&lt;&gt;"",VLOOKUP('Comptage Décadaire'!U95,'Comptage Décadaire'!U:U,1,FALSE),"")</f>
        <v/>
      </c>
      <c r="U94" s="30" t="str">
        <f>IF('Comptage Décadaire'!V95&lt;&gt;"",VLOOKUP('Comptage Décadaire'!V95,'Comptage Décadaire'!V:V,1,FALSE),"")</f>
        <v/>
      </c>
      <c r="V94" s="30" t="str">
        <f>IF('Comptage Décadaire'!W95&lt;&gt;"",VLOOKUP('Comptage Décadaire'!W95,'Comptage Décadaire'!W:W,1,FALSE),"")</f>
        <v/>
      </c>
      <c r="W94" s="30" t="str">
        <f>IF('Comptage Décadaire'!X95&lt;&gt;"",VLOOKUP('Comptage Décadaire'!X95,'Comptage Décadaire'!X:X,1,FALSE),"")</f>
        <v/>
      </c>
      <c r="X94" s="30" t="str">
        <f>IF('Comptage Décadaire'!Y95&lt;&gt;"",VLOOKUP('Comptage Décadaire'!Y95,'Comptage Décadaire'!Y:Y,1,FALSE),"")</f>
        <v/>
      </c>
      <c r="Y94" s="30" t="str">
        <f>IF('Comptage Décadaire'!Z95&lt;&gt;"",VLOOKUP('Comptage Décadaire'!Z95,Nomenclature!$F$2:$G$7,2,FALSE),"")</f>
        <v/>
      </c>
      <c r="Z94" s="30" t="str">
        <f>IF('Comptage Décadaire'!AA95&lt;&gt;"",VLOOKUP('Comptage Décadaire'!AA95,Nomenclature!$H$2:$I$31,2,FALSE),"")</f>
        <v/>
      </c>
      <c r="AA94" s="30" t="str">
        <f>IF('Comptage Décadaire'!AB95&lt;&gt;"",VLOOKUP('Comptage Décadaire'!AB95,Nomenclature!$J$2:$K$21,2,FALSE),"")</f>
        <v/>
      </c>
      <c r="AB94" s="30" t="str">
        <f>IF('Comptage Décadaire'!AC95&lt;&gt;"",VLOOKUP('Comptage Décadaire'!AC95,'Comptage Décadaire'!AC:AC,1,FALSE),"")</f>
        <v/>
      </c>
      <c r="AC94" s="32" t="str">
        <f>IF('Comptage Décadaire'!AD95&lt;&gt;"",VLOOKUP('Comptage Décadaire'!AD95,Nomenclature!$L$2:$M$8,2,FALSE),"")</f>
        <v/>
      </c>
      <c r="AD94" s="32" t="str">
        <f>IF('Comptage Décadaire'!AE95&lt;&gt;"",VLOOKUP('Comptage Décadaire'!AE95,Utilisateurs!$D$2:$F$81,3,FALSE),"")</f>
        <v/>
      </c>
      <c r="AE94" s="35" t="str">
        <f>IF('Comptage Décadaire'!AF95&lt;&gt;"",VLOOKUP('Comptage Décadaire'!AF95,'Comptage Décadaire'!AF:AF,1,FALSE),"")</f>
        <v/>
      </c>
      <c r="AF94" s="32" t="str">
        <f>IF('Comptage Décadaire'!AG95&lt;&gt;"",VLOOKUP('Comptage Décadaire'!AG95,'Comptage Décadaire'!AG:AG,1,FALSE),"")</f>
        <v/>
      </c>
    </row>
    <row r="95" spans="1:32" x14ac:dyDescent="0.25">
      <c r="A95" s="25" t="str">
        <f>IF('Comptage Décadaire'!A96&lt;&gt;"",VLOOKUP('Comptage Décadaire'!A96,'Comptage Décadaire'!A:A,1,FALSE),"")</f>
        <v/>
      </c>
      <c r="B95" s="27" t="str">
        <f>IF('Comptage Décadaire'!B96&lt;&gt;"",VLOOKUP('Comptage Décadaire'!B96,'Comptage Décadaire'!B:B,1,FALSE),"")</f>
        <v/>
      </c>
      <c r="C95" s="28" t="str">
        <f>IF('Comptage Décadaire'!C96&lt;&gt;"",VLOOKUP('Comptage Décadaire'!C96,'Comptage Décadaire'!C:C,1,FALSE),"")</f>
        <v/>
      </c>
      <c r="D95" s="29" t="str">
        <f>IF('Comptage Décadaire'!D96&lt;&gt;"",VLOOKUP('Comptage Décadaire'!D96,Sites!$A:$B,2,FALSE),"")</f>
        <v/>
      </c>
      <c r="E95" s="29" t="str">
        <f>IF('Comptage Décadaire'!E96&lt;&gt;"",VLOOKUP('Comptage Décadaire'!E96,'Comptage Décadaire'!E:E,1,FALSE),"")</f>
        <v/>
      </c>
      <c r="F95" s="29" t="str">
        <f>IF('Comptage Décadaire'!F96&lt;&gt;"",VLOOKUP('Comptage Décadaire'!F96,Nomenclature!$B$2:$C$4,2,FALSE),"")</f>
        <v/>
      </c>
      <c r="G95" s="29" t="str">
        <f>IF('Comptage Décadaire'!G96&lt;&gt;"",VLOOKUP('Comptage Décadaire'!G96,'Comptage Décadaire'!G:G,1,FALSE),"")</f>
        <v/>
      </c>
      <c r="H95" s="29" t="str">
        <f>IF('Comptage Décadaire'!H96&lt;&gt;"",VLOOKUP('Comptage Décadaire'!H96,Nomenclature!$D$2:$E$7,2,FALSE),"")</f>
        <v/>
      </c>
      <c r="I95" s="30" t="str">
        <f>IF('Comptage Décadaire'!J96&lt;&gt;"",VLOOKUP('Comptage Décadaire'!J96,'Comptage Décadaire'!J:J,1,FALSE),"")</f>
        <v/>
      </c>
      <c r="J95" s="30" t="str">
        <f>IF('Comptage Décadaire'!K96&lt;&gt;"",VLOOKUP('Comptage Décadaire'!K96,'Comptage Décadaire'!K:K,1,FALSE),"")</f>
        <v/>
      </c>
      <c r="K95" s="30" t="str">
        <f>IF('Comptage Décadaire'!L96&lt;&gt;"",VLOOKUP('Comptage Décadaire'!L96,'Comptage Décadaire'!L:L,1,FALSE),"")</f>
        <v/>
      </c>
      <c r="L95" s="31" t="str">
        <f>IF('Comptage Décadaire'!M96&lt;&gt;"",VLOOKUP('Comptage Décadaire'!M96,'Comptage Décadaire'!M:M,1,FALSE),"")</f>
        <v/>
      </c>
      <c r="M95" s="33" t="str">
        <f>IF('Comptage Décadaire'!N96&lt;&gt;"",VLOOKUP('Comptage Décadaire'!N96,Utilisateurs!$D:$F,3,FALSE),"")</f>
        <v/>
      </c>
      <c r="N95" s="33" t="str">
        <f>IF('Comptage Décadaire'!O96&lt;&gt;"",VLOOKUP('Comptage Décadaire'!O96,Utilisateurs!$D:$F,3,FALSE),"")</f>
        <v/>
      </c>
      <c r="O95" s="33" t="str">
        <f>IF('Comptage Décadaire'!P96&lt;&gt;"",VLOOKUP('Comptage Décadaire'!P96,Utilisateurs!$D:$F,3,FALSE),"")</f>
        <v/>
      </c>
      <c r="P95" s="33" t="str">
        <f>IF('Comptage Décadaire'!Q96&lt;&gt;"",VLOOKUP('Comptage Décadaire'!Q96,Utilisateurs!$D:$F,3,FALSE),"")</f>
        <v/>
      </c>
      <c r="Q95" s="33" t="str">
        <f>IF('Comptage Décadaire'!R96&lt;&gt;"",VLOOKUP('Comptage Décadaire'!R96,Utilisateurs!$D:$F,3,FALSE),"")</f>
        <v/>
      </c>
      <c r="R95" s="30" t="str">
        <f>IF('Comptage Décadaire'!S96&lt;&gt;"",VLOOKUP('Comptage Décadaire'!S96,Nomenclature!$N:$O,2,FALSE),"")</f>
        <v/>
      </c>
      <c r="S95" s="30" t="str">
        <f>IF('Comptage Décadaire'!T96&lt;&gt;"",VLOOKUP('Comptage Décadaire'!T96,'Comptage Décadaire'!T:T,1,FALSE),"")</f>
        <v/>
      </c>
      <c r="T95" s="30" t="str">
        <f>IF('Comptage Décadaire'!U96&lt;&gt;"",VLOOKUP('Comptage Décadaire'!U96,'Comptage Décadaire'!U:U,1,FALSE),"")</f>
        <v/>
      </c>
      <c r="U95" s="30" t="str">
        <f>IF('Comptage Décadaire'!V96&lt;&gt;"",VLOOKUP('Comptage Décadaire'!V96,'Comptage Décadaire'!V:V,1,FALSE),"")</f>
        <v/>
      </c>
      <c r="V95" s="30" t="str">
        <f>IF('Comptage Décadaire'!W96&lt;&gt;"",VLOOKUP('Comptage Décadaire'!W96,'Comptage Décadaire'!W:W,1,FALSE),"")</f>
        <v/>
      </c>
      <c r="W95" s="30" t="str">
        <f>IF('Comptage Décadaire'!X96&lt;&gt;"",VLOOKUP('Comptage Décadaire'!X96,'Comptage Décadaire'!X:X,1,FALSE),"")</f>
        <v/>
      </c>
      <c r="X95" s="30" t="str">
        <f>IF('Comptage Décadaire'!Y96&lt;&gt;"",VLOOKUP('Comptage Décadaire'!Y96,'Comptage Décadaire'!Y:Y,1,FALSE),"")</f>
        <v/>
      </c>
      <c r="Y95" s="30" t="str">
        <f>IF('Comptage Décadaire'!Z96&lt;&gt;"",VLOOKUP('Comptage Décadaire'!Z96,Nomenclature!$F$2:$G$7,2,FALSE),"")</f>
        <v/>
      </c>
      <c r="Z95" s="30" t="str">
        <f>IF('Comptage Décadaire'!AA96&lt;&gt;"",VLOOKUP('Comptage Décadaire'!AA96,Nomenclature!$H$2:$I$31,2,FALSE),"")</f>
        <v/>
      </c>
      <c r="AA95" s="30" t="str">
        <f>IF('Comptage Décadaire'!AB96&lt;&gt;"",VLOOKUP('Comptage Décadaire'!AB96,Nomenclature!$J$2:$K$21,2,FALSE),"")</f>
        <v/>
      </c>
      <c r="AB95" s="30" t="str">
        <f>IF('Comptage Décadaire'!AC96&lt;&gt;"",VLOOKUP('Comptage Décadaire'!AC96,'Comptage Décadaire'!AC:AC,1,FALSE),"")</f>
        <v/>
      </c>
      <c r="AC95" s="32" t="str">
        <f>IF('Comptage Décadaire'!AD96&lt;&gt;"",VLOOKUP('Comptage Décadaire'!AD96,Nomenclature!$L$2:$M$8,2,FALSE),"")</f>
        <v/>
      </c>
      <c r="AD95" s="32" t="str">
        <f>IF('Comptage Décadaire'!AE96&lt;&gt;"",VLOOKUP('Comptage Décadaire'!AE96,Utilisateurs!$D$2:$F$81,3,FALSE),"")</f>
        <v/>
      </c>
      <c r="AE95" s="35" t="str">
        <f>IF('Comptage Décadaire'!AF96&lt;&gt;"",VLOOKUP('Comptage Décadaire'!AF96,'Comptage Décadaire'!AF:AF,1,FALSE),"")</f>
        <v/>
      </c>
      <c r="AF95" s="32" t="str">
        <f>IF('Comptage Décadaire'!AG96&lt;&gt;"",VLOOKUP('Comptage Décadaire'!AG96,'Comptage Décadaire'!AG:AG,1,FALSE),"")</f>
        <v/>
      </c>
    </row>
    <row r="96" spans="1:32" x14ac:dyDescent="0.25">
      <c r="A96" s="25" t="str">
        <f>IF('Comptage Décadaire'!A97&lt;&gt;"",VLOOKUP('Comptage Décadaire'!A97,'Comptage Décadaire'!A:A,1,FALSE),"")</f>
        <v/>
      </c>
      <c r="B96" s="27" t="str">
        <f>IF('Comptage Décadaire'!B97&lt;&gt;"",VLOOKUP('Comptage Décadaire'!B97,'Comptage Décadaire'!B:B,1,FALSE),"")</f>
        <v/>
      </c>
      <c r="C96" s="28" t="str">
        <f>IF('Comptage Décadaire'!C97&lt;&gt;"",VLOOKUP('Comptage Décadaire'!C97,'Comptage Décadaire'!C:C,1,FALSE),"")</f>
        <v/>
      </c>
      <c r="D96" s="29" t="str">
        <f>IF('Comptage Décadaire'!D97&lt;&gt;"",VLOOKUP('Comptage Décadaire'!D97,Sites!$A:$B,2,FALSE),"")</f>
        <v/>
      </c>
      <c r="E96" s="29" t="str">
        <f>IF('Comptage Décadaire'!E97&lt;&gt;"",VLOOKUP('Comptage Décadaire'!E97,'Comptage Décadaire'!E:E,1,FALSE),"")</f>
        <v/>
      </c>
      <c r="F96" s="29" t="str">
        <f>IF('Comptage Décadaire'!F97&lt;&gt;"",VLOOKUP('Comptage Décadaire'!F97,Nomenclature!$B$2:$C$4,2,FALSE),"")</f>
        <v/>
      </c>
      <c r="G96" s="29" t="str">
        <f>IF('Comptage Décadaire'!G97&lt;&gt;"",VLOOKUP('Comptage Décadaire'!G97,'Comptage Décadaire'!G:G,1,FALSE),"")</f>
        <v/>
      </c>
      <c r="H96" s="29" t="str">
        <f>IF('Comptage Décadaire'!H97&lt;&gt;"",VLOOKUP('Comptage Décadaire'!H97,Nomenclature!$D$2:$E$7,2,FALSE),"")</f>
        <v/>
      </c>
      <c r="I96" s="30" t="str">
        <f>IF('Comptage Décadaire'!J97&lt;&gt;"",VLOOKUP('Comptage Décadaire'!J97,'Comptage Décadaire'!J:J,1,FALSE),"")</f>
        <v/>
      </c>
      <c r="J96" s="30" t="str">
        <f>IF('Comptage Décadaire'!K97&lt;&gt;"",VLOOKUP('Comptage Décadaire'!K97,'Comptage Décadaire'!K:K,1,FALSE),"")</f>
        <v/>
      </c>
      <c r="K96" s="30" t="str">
        <f>IF('Comptage Décadaire'!L97&lt;&gt;"",VLOOKUP('Comptage Décadaire'!L97,'Comptage Décadaire'!L:L,1,FALSE),"")</f>
        <v/>
      </c>
      <c r="L96" s="31" t="str">
        <f>IF('Comptage Décadaire'!M97&lt;&gt;"",VLOOKUP('Comptage Décadaire'!M97,'Comptage Décadaire'!M:M,1,FALSE),"")</f>
        <v/>
      </c>
      <c r="M96" s="33" t="str">
        <f>IF('Comptage Décadaire'!N97&lt;&gt;"",VLOOKUP('Comptage Décadaire'!N97,Utilisateurs!$D:$F,3,FALSE),"")</f>
        <v/>
      </c>
      <c r="N96" s="33" t="str">
        <f>IF('Comptage Décadaire'!O97&lt;&gt;"",VLOOKUP('Comptage Décadaire'!O97,Utilisateurs!$D:$F,3,FALSE),"")</f>
        <v/>
      </c>
      <c r="O96" s="33" t="str">
        <f>IF('Comptage Décadaire'!P97&lt;&gt;"",VLOOKUP('Comptage Décadaire'!P97,Utilisateurs!$D:$F,3,FALSE),"")</f>
        <v/>
      </c>
      <c r="P96" s="33" t="str">
        <f>IF('Comptage Décadaire'!Q97&lt;&gt;"",VLOOKUP('Comptage Décadaire'!Q97,Utilisateurs!$D:$F,3,FALSE),"")</f>
        <v/>
      </c>
      <c r="Q96" s="33" t="str">
        <f>IF('Comptage Décadaire'!R97&lt;&gt;"",VLOOKUP('Comptage Décadaire'!R97,Utilisateurs!$D:$F,3,FALSE),"")</f>
        <v/>
      </c>
      <c r="R96" s="30" t="str">
        <f>IF('Comptage Décadaire'!S97&lt;&gt;"",VLOOKUP('Comptage Décadaire'!S97,Nomenclature!$N:$O,2,FALSE),"")</f>
        <v/>
      </c>
      <c r="S96" s="30" t="str">
        <f>IF('Comptage Décadaire'!T97&lt;&gt;"",VLOOKUP('Comptage Décadaire'!T97,'Comptage Décadaire'!T:T,1,FALSE),"")</f>
        <v/>
      </c>
      <c r="T96" s="30" t="str">
        <f>IF('Comptage Décadaire'!U97&lt;&gt;"",VLOOKUP('Comptage Décadaire'!U97,'Comptage Décadaire'!U:U,1,FALSE),"")</f>
        <v/>
      </c>
      <c r="U96" s="30" t="str">
        <f>IF('Comptage Décadaire'!V97&lt;&gt;"",VLOOKUP('Comptage Décadaire'!V97,'Comptage Décadaire'!V:V,1,FALSE),"")</f>
        <v/>
      </c>
      <c r="V96" s="30" t="str">
        <f>IF('Comptage Décadaire'!W97&lt;&gt;"",VLOOKUP('Comptage Décadaire'!W97,'Comptage Décadaire'!W:W,1,FALSE),"")</f>
        <v/>
      </c>
      <c r="W96" s="30" t="str">
        <f>IF('Comptage Décadaire'!X97&lt;&gt;"",VLOOKUP('Comptage Décadaire'!X97,'Comptage Décadaire'!X:X,1,FALSE),"")</f>
        <v/>
      </c>
      <c r="X96" s="30" t="str">
        <f>IF('Comptage Décadaire'!Y97&lt;&gt;"",VLOOKUP('Comptage Décadaire'!Y97,'Comptage Décadaire'!Y:Y,1,FALSE),"")</f>
        <v/>
      </c>
      <c r="Y96" s="30" t="str">
        <f>IF('Comptage Décadaire'!Z97&lt;&gt;"",VLOOKUP('Comptage Décadaire'!Z97,Nomenclature!$F$2:$G$7,2,FALSE),"")</f>
        <v/>
      </c>
      <c r="Z96" s="30" t="str">
        <f>IF('Comptage Décadaire'!AA97&lt;&gt;"",VLOOKUP('Comptage Décadaire'!AA97,Nomenclature!$H$2:$I$31,2,FALSE),"")</f>
        <v/>
      </c>
      <c r="AA96" s="30" t="str">
        <f>IF('Comptage Décadaire'!AB97&lt;&gt;"",VLOOKUP('Comptage Décadaire'!AB97,Nomenclature!$J$2:$K$21,2,FALSE),"")</f>
        <v/>
      </c>
      <c r="AB96" s="30" t="str">
        <f>IF('Comptage Décadaire'!AC97&lt;&gt;"",VLOOKUP('Comptage Décadaire'!AC97,'Comptage Décadaire'!AC:AC,1,FALSE),"")</f>
        <v/>
      </c>
      <c r="AC96" s="32" t="str">
        <f>IF('Comptage Décadaire'!AD97&lt;&gt;"",VLOOKUP('Comptage Décadaire'!AD97,Nomenclature!$L$2:$M$8,2,FALSE),"")</f>
        <v/>
      </c>
      <c r="AD96" s="32" t="str">
        <f>IF('Comptage Décadaire'!AE97&lt;&gt;"",VLOOKUP('Comptage Décadaire'!AE97,Utilisateurs!$D$2:$F$81,3,FALSE),"")</f>
        <v/>
      </c>
      <c r="AE96" s="35" t="str">
        <f>IF('Comptage Décadaire'!AF97&lt;&gt;"",VLOOKUP('Comptage Décadaire'!AF97,'Comptage Décadaire'!AF:AF,1,FALSE),"")</f>
        <v/>
      </c>
      <c r="AF96" s="32" t="str">
        <f>IF('Comptage Décadaire'!AG97&lt;&gt;"",VLOOKUP('Comptage Décadaire'!AG97,'Comptage Décadaire'!AG:AG,1,FALSE),"")</f>
        <v/>
      </c>
    </row>
    <row r="97" spans="1:32" x14ac:dyDescent="0.25">
      <c r="A97" s="25" t="str">
        <f>IF('Comptage Décadaire'!A98&lt;&gt;"",VLOOKUP('Comptage Décadaire'!A98,'Comptage Décadaire'!A:A,1,FALSE),"")</f>
        <v/>
      </c>
      <c r="B97" s="27" t="str">
        <f>IF('Comptage Décadaire'!B98&lt;&gt;"",VLOOKUP('Comptage Décadaire'!B98,'Comptage Décadaire'!B:B,1,FALSE),"")</f>
        <v/>
      </c>
      <c r="C97" s="28" t="str">
        <f>IF('Comptage Décadaire'!C98&lt;&gt;"",VLOOKUP('Comptage Décadaire'!C98,'Comptage Décadaire'!C:C,1,FALSE),"")</f>
        <v/>
      </c>
      <c r="D97" s="29" t="str">
        <f>IF('Comptage Décadaire'!D98&lt;&gt;"",VLOOKUP('Comptage Décadaire'!D98,Sites!$A:$B,2,FALSE),"")</f>
        <v/>
      </c>
      <c r="E97" s="29" t="str">
        <f>IF('Comptage Décadaire'!E98&lt;&gt;"",VLOOKUP('Comptage Décadaire'!E98,'Comptage Décadaire'!E:E,1,FALSE),"")</f>
        <v/>
      </c>
      <c r="F97" s="29" t="str">
        <f>IF('Comptage Décadaire'!F98&lt;&gt;"",VLOOKUP('Comptage Décadaire'!F98,Nomenclature!$B$2:$C$4,2,FALSE),"")</f>
        <v/>
      </c>
      <c r="G97" s="29" t="str">
        <f>IF('Comptage Décadaire'!G98&lt;&gt;"",VLOOKUP('Comptage Décadaire'!G98,'Comptage Décadaire'!G:G,1,FALSE),"")</f>
        <v/>
      </c>
      <c r="H97" s="29" t="str">
        <f>IF('Comptage Décadaire'!H98&lt;&gt;"",VLOOKUP('Comptage Décadaire'!H98,Nomenclature!$D$2:$E$7,2,FALSE),"")</f>
        <v/>
      </c>
      <c r="I97" s="30" t="str">
        <f>IF('Comptage Décadaire'!J98&lt;&gt;"",VLOOKUP('Comptage Décadaire'!J98,'Comptage Décadaire'!J:J,1,FALSE),"")</f>
        <v/>
      </c>
      <c r="J97" s="30" t="str">
        <f>IF('Comptage Décadaire'!K98&lt;&gt;"",VLOOKUP('Comptage Décadaire'!K98,'Comptage Décadaire'!K:K,1,FALSE),"")</f>
        <v/>
      </c>
      <c r="K97" s="30" t="str">
        <f>IF('Comptage Décadaire'!L98&lt;&gt;"",VLOOKUP('Comptage Décadaire'!L98,'Comptage Décadaire'!L:L,1,FALSE),"")</f>
        <v/>
      </c>
      <c r="L97" s="31" t="str">
        <f>IF('Comptage Décadaire'!M98&lt;&gt;"",VLOOKUP('Comptage Décadaire'!M98,'Comptage Décadaire'!M:M,1,FALSE),"")</f>
        <v/>
      </c>
      <c r="M97" s="33" t="str">
        <f>IF('Comptage Décadaire'!N98&lt;&gt;"",VLOOKUP('Comptage Décadaire'!N98,Utilisateurs!$D:$F,3,FALSE),"")</f>
        <v/>
      </c>
      <c r="N97" s="33" t="str">
        <f>IF('Comptage Décadaire'!O98&lt;&gt;"",VLOOKUP('Comptage Décadaire'!O98,Utilisateurs!$D:$F,3,FALSE),"")</f>
        <v/>
      </c>
      <c r="O97" s="33" t="str">
        <f>IF('Comptage Décadaire'!P98&lt;&gt;"",VLOOKUP('Comptage Décadaire'!P98,Utilisateurs!$D:$F,3,FALSE),"")</f>
        <v/>
      </c>
      <c r="P97" s="33" t="str">
        <f>IF('Comptage Décadaire'!Q98&lt;&gt;"",VLOOKUP('Comptage Décadaire'!Q98,Utilisateurs!$D:$F,3,FALSE),"")</f>
        <v/>
      </c>
      <c r="Q97" s="33" t="str">
        <f>IF('Comptage Décadaire'!R98&lt;&gt;"",VLOOKUP('Comptage Décadaire'!R98,Utilisateurs!$D:$F,3,FALSE),"")</f>
        <v/>
      </c>
      <c r="R97" s="30" t="str">
        <f>IF('Comptage Décadaire'!S98&lt;&gt;"",VLOOKUP('Comptage Décadaire'!S98,Nomenclature!$N:$O,2,FALSE),"")</f>
        <v/>
      </c>
      <c r="S97" s="30" t="str">
        <f>IF('Comptage Décadaire'!T98&lt;&gt;"",VLOOKUP('Comptage Décadaire'!T98,'Comptage Décadaire'!T:T,1,FALSE),"")</f>
        <v/>
      </c>
      <c r="T97" s="30" t="str">
        <f>IF('Comptage Décadaire'!U98&lt;&gt;"",VLOOKUP('Comptage Décadaire'!U98,'Comptage Décadaire'!U:U,1,FALSE),"")</f>
        <v/>
      </c>
      <c r="U97" s="30" t="str">
        <f>IF('Comptage Décadaire'!V98&lt;&gt;"",VLOOKUP('Comptage Décadaire'!V98,'Comptage Décadaire'!V:V,1,FALSE),"")</f>
        <v/>
      </c>
      <c r="V97" s="30" t="str">
        <f>IF('Comptage Décadaire'!W98&lt;&gt;"",VLOOKUP('Comptage Décadaire'!W98,'Comptage Décadaire'!W:W,1,FALSE),"")</f>
        <v/>
      </c>
      <c r="W97" s="30" t="str">
        <f>IF('Comptage Décadaire'!X98&lt;&gt;"",VLOOKUP('Comptage Décadaire'!X98,'Comptage Décadaire'!X:X,1,FALSE),"")</f>
        <v/>
      </c>
      <c r="X97" s="30" t="str">
        <f>IF('Comptage Décadaire'!Y98&lt;&gt;"",VLOOKUP('Comptage Décadaire'!Y98,'Comptage Décadaire'!Y:Y,1,FALSE),"")</f>
        <v/>
      </c>
      <c r="Y97" s="30" t="str">
        <f>IF('Comptage Décadaire'!Z98&lt;&gt;"",VLOOKUP('Comptage Décadaire'!Z98,Nomenclature!$F$2:$G$7,2,FALSE),"")</f>
        <v/>
      </c>
      <c r="Z97" s="30" t="str">
        <f>IF('Comptage Décadaire'!AA98&lt;&gt;"",VLOOKUP('Comptage Décadaire'!AA98,Nomenclature!$H$2:$I$31,2,FALSE),"")</f>
        <v/>
      </c>
      <c r="AA97" s="30" t="str">
        <f>IF('Comptage Décadaire'!AB98&lt;&gt;"",VLOOKUP('Comptage Décadaire'!AB98,Nomenclature!$J$2:$K$21,2,FALSE),"")</f>
        <v/>
      </c>
      <c r="AB97" s="30" t="str">
        <f>IF('Comptage Décadaire'!AC98&lt;&gt;"",VLOOKUP('Comptage Décadaire'!AC98,'Comptage Décadaire'!AC:AC,1,FALSE),"")</f>
        <v/>
      </c>
      <c r="AC97" s="32" t="str">
        <f>IF('Comptage Décadaire'!AD98&lt;&gt;"",VLOOKUP('Comptage Décadaire'!AD98,Nomenclature!$L$2:$M$8,2,FALSE),"")</f>
        <v/>
      </c>
      <c r="AD97" s="32" t="str">
        <f>IF('Comptage Décadaire'!AE98&lt;&gt;"",VLOOKUP('Comptage Décadaire'!AE98,Utilisateurs!$D$2:$F$81,3,FALSE),"")</f>
        <v/>
      </c>
      <c r="AE97" s="35" t="str">
        <f>IF('Comptage Décadaire'!AF98&lt;&gt;"",VLOOKUP('Comptage Décadaire'!AF98,'Comptage Décadaire'!AF:AF,1,FALSE),"")</f>
        <v/>
      </c>
      <c r="AF97" s="32" t="str">
        <f>IF('Comptage Décadaire'!AG98&lt;&gt;"",VLOOKUP('Comptage Décadaire'!AG98,'Comptage Décadaire'!AG:AG,1,FALSE),"")</f>
        <v/>
      </c>
    </row>
    <row r="98" spans="1:32" x14ac:dyDescent="0.25">
      <c r="A98" s="25" t="str">
        <f>IF('Comptage Décadaire'!A99&lt;&gt;"",VLOOKUP('Comptage Décadaire'!A99,'Comptage Décadaire'!A:A,1,FALSE),"")</f>
        <v/>
      </c>
      <c r="B98" s="27" t="str">
        <f>IF('Comptage Décadaire'!B99&lt;&gt;"",VLOOKUP('Comptage Décadaire'!B99,'Comptage Décadaire'!B:B,1,FALSE),"")</f>
        <v/>
      </c>
      <c r="C98" s="28" t="str">
        <f>IF('Comptage Décadaire'!C99&lt;&gt;"",VLOOKUP('Comptage Décadaire'!C99,'Comptage Décadaire'!C:C,1,FALSE),"")</f>
        <v/>
      </c>
      <c r="D98" s="29" t="str">
        <f>IF('Comptage Décadaire'!D99&lt;&gt;"",VLOOKUP('Comptage Décadaire'!D99,Sites!$A:$B,2,FALSE),"")</f>
        <v/>
      </c>
      <c r="E98" s="29" t="str">
        <f>IF('Comptage Décadaire'!E99&lt;&gt;"",VLOOKUP('Comptage Décadaire'!E99,'Comptage Décadaire'!E:E,1,FALSE),"")</f>
        <v/>
      </c>
      <c r="F98" s="29" t="str">
        <f>IF('Comptage Décadaire'!F99&lt;&gt;"",VLOOKUP('Comptage Décadaire'!F99,Nomenclature!$B$2:$C$4,2,FALSE),"")</f>
        <v/>
      </c>
      <c r="G98" s="29" t="str">
        <f>IF('Comptage Décadaire'!G99&lt;&gt;"",VLOOKUP('Comptage Décadaire'!G99,'Comptage Décadaire'!G:G,1,FALSE),"")</f>
        <v/>
      </c>
      <c r="H98" s="29" t="str">
        <f>IF('Comptage Décadaire'!H99&lt;&gt;"",VLOOKUP('Comptage Décadaire'!H99,Nomenclature!$D$2:$E$7,2,FALSE),"")</f>
        <v/>
      </c>
      <c r="I98" s="30" t="str">
        <f>IF('Comptage Décadaire'!J99&lt;&gt;"",VLOOKUP('Comptage Décadaire'!J99,'Comptage Décadaire'!J:J,1,FALSE),"")</f>
        <v/>
      </c>
      <c r="J98" s="30" t="str">
        <f>IF('Comptage Décadaire'!K99&lt;&gt;"",VLOOKUP('Comptage Décadaire'!K99,'Comptage Décadaire'!K:K,1,FALSE),"")</f>
        <v/>
      </c>
      <c r="K98" s="30" t="str">
        <f>IF('Comptage Décadaire'!L99&lt;&gt;"",VLOOKUP('Comptage Décadaire'!L99,'Comptage Décadaire'!L:L,1,FALSE),"")</f>
        <v/>
      </c>
      <c r="L98" s="31" t="str">
        <f>IF('Comptage Décadaire'!M99&lt;&gt;"",VLOOKUP('Comptage Décadaire'!M99,'Comptage Décadaire'!M:M,1,FALSE),"")</f>
        <v/>
      </c>
      <c r="M98" s="33" t="str">
        <f>IF('Comptage Décadaire'!N99&lt;&gt;"",VLOOKUP('Comptage Décadaire'!N99,Utilisateurs!$D:$F,3,FALSE),"")</f>
        <v/>
      </c>
      <c r="N98" s="33" t="str">
        <f>IF('Comptage Décadaire'!O99&lt;&gt;"",VLOOKUP('Comptage Décadaire'!O99,Utilisateurs!$D:$F,3,FALSE),"")</f>
        <v/>
      </c>
      <c r="O98" s="33" t="str">
        <f>IF('Comptage Décadaire'!P99&lt;&gt;"",VLOOKUP('Comptage Décadaire'!P99,Utilisateurs!$D:$F,3,FALSE),"")</f>
        <v/>
      </c>
      <c r="P98" s="33" t="str">
        <f>IF('Comptage Décadaire'!Q99&lt;&gt;"",VLOOKUP('Comptage Décadaire'!Q99,Utilisateurs!$D:$F,3,FALSE),"")</f>
        <v/>
      </c>
      <c r="Q98" s="33" t="str">
        <f>IF('Comptage Décadaire'!R99&lt;&gt;"",VLOOKUP('Comptage Décadaire'!R99,Utilisateurs!$D:$F,3,FALSE),"")</f>
        <v/>
      </c>
      <c r="R98" s="30" t="str">
        <f>IF('Comptage Décadaire'!S99&lt;&gt;"",VLOOKUP('Comptage Décadaire'!S99,Nomenclature!$N:$O,2,FALSE),"")</f>
        <v/>
      </c>
      <c r="S98" s="30" t="str">
        <f>IF('Comptage Décadaire'!T99&lt;&gt;"",VLOOKUP('Comptage Décadaire'!T99,'Comptage Décadaire'!T:T,1,FALSE),"")</f>
        <v/>
      </c>
      <c r="T98" s="30" t="str">
        <f>IF('Comptage Décadaire'!U99&lt;&gt;"",VLOOKUP('Comptage Décadaire'!U99,'Comptage Décadaire'!U:U,1,FALSE),"")</f>
        <v/>
      </c>
      <c r="U98" s="30" t="str">
        <f>IF('Comptage Décadaire'!V99&lt;&gt;"",VLOOKUP('Comptage Décadaire'!V99,'Comptage Décadaire'!V:V,1,FALSE),"")</f>
        <v/>
      </c>
      <c r="V98" s="30" t="str">
        <f>IF('Comptage Décadaire'!W99&lt;&gt;"",VLOOKUP('Comptage Décadaire'!W99,'Comptage Décadaire'!W:W,1,FALSE),"")</f>
        <v/>
      </c>
      <c r="W98" s="30" t="str">
        <f>IF('Comptage Décadaire'!X99&lt;&gt;"",VLOOKUP('Comptage Décadaire'!X99,'Comptage Décadaire'!X:X,1,FALSE),"")</f>
        <v/>
      </c>
      <c r="X98" s="30" t="str">
        <f>IF('Comptage Décadaire'!Y99&lt;&gt;"",VLOOKUP('Comptage Décadaire'!Y99,'Comptage Décadaire'!Y:Y,1,FALSE),"")</f>
        <v/>
      </c>
      <c r="Y98" s="30" t="str">
        <f>IF('Comptage Décadaire'!Z99&lt;&gt;"",VLOOKUP('Comptage Décadaire'!Z99,Nomenclature!$F$2:$G$7,2,FALSE),"")</f>
        <v/>
      </c>
      <c r="Z98" s="30" t="str">
        <f>IF('Comptage Décadaire'!AA99&lt;&gt;"",VLOOKUP('Comptage Décadaire'!AA99,Nomenclature!$H$2:$I$31,2,FALSE),"")</f>
        <v/>
      </c>
      <c r="AA98" s="30" t="str">
        <f>IF('Comptage Décadaire'!AB99&lt;&gt;"",VLOOKUP('Comptage Décadaire'!AB99,Nomenclature!$J$2:$K$21,2,FALSE),"")</f>
        <v/>
      </c>
      <c r="AB98" s="30" t="str">
        <f>IF('Comptage Décadaire'!AC99&lt;&gt;"",VLOOKUP('Comptage Décadaire'!AC99,'Comptage Décadaire'!AC:AC,1,FALSE),"")</f>
        <v/>
      </c>
      <c r="AC98" s="32" t="str">
        <f>IF('Comptage Décadaire'!AD99&lt;&gt;"",VLOOKUP('Comptage Décadaire'!AD99,Nomenclature!$L$2:$M$8,2,FALSE),"")</f>
        <v/>
      </c>
      <c r="AD98" s="32" t="str">
        <f>IF('Comptage Décadaire'!AE99&lt;&gt;"",VLOOKUP('Comptage Décadaire'!AE99,Utilisateurs!$D$2:$F$81,3,FALSE),"")</f>
        <v/>
      </c>
      <c r="AE98" s="35" t="str">
        <f>IF('Comptage Décadaire'!AF99&lt;&gt;"",VLOOKUP('Comptage Décadaire'!AF99,'Comptage Décadaire'!AF:AF,1,FALSE),"")</f>
        <v/>
      </c>
      <c r="AF98" s="32" t="str">
        <f>IF('Comptage Décadaire'!AG99&lt;&gt;"",VLOOKUP('Comptage Décadaire'!AG99,'Comptage Décadaire'!AG:AG,1,FALSE),"")</f>
        <v/>
      </c>
    </row>
    <row r="99" spans="1:32" x14ac:dyDescent="0.25">
      <c r="A99" s="25" t="str">
        <f>IF('Comptage Décadaire'!A100&lt;&gt;"",VLOOKUP('Comptage Décadaire'!A100,'Comptage Décadaire'!A:A,1,FALSE),"")</f>
        <v/>
      </c>
      <c r="B99" s="27" t="str">
        <f>IF('Comptage Décadaire'!B100&lt;&gt;"",VLOOKUP('Comptage Décadaire'!B100,'Comptage Décadaire'!B:B,1,FALSE),"")</f>
        <v/>
      </c>
      <c r="C99" s="28" t="str">
        <f>IF('Comptage Décadaire'!C100&lt;&gt;"",VLOOKUP('Comptage Décadaire'!C100,'Comptage Décadaire'!C:C,1,FALSE),"")</f>
        <v/>
      </c>
      <c r="D99" s="29" t="str">
        <f>IF('Comptage Décadaire'!D100&lt;&gt;"",VLOOKUP('Comptage Décadaire'!D100,Sites!$A:$B,2,FALSE),"")</f>
        <v/>
      </c>
      <c r="E99" s="29" t="str">
        <f>IF('Comptage Décadaire'!E100&lt;&gt;"",VLOOKUP('Comptage Décadaire'!E100,'Comptage Décadaire'!E:E,1,FALSE),"")</f>
        <v/>
      </c>
      <c r="F99" s="29" t="str">
        <f>IF('Comptage Décadaire'!F100&lt;&gt;"",VLOOKUP('Comptage Décadaire'!F100,Nomenclature!$B$2:$C$4,2,FALSE),"")</f>
        <v/>
      </c>
      <c r="G99" s="29" t="str">
        <f>IF('Comptage Décadaire'!G100&lt;&gt;"",VLOOKUP('Comptage Décadaire'!G100,'Comptage Décadaire'!G:G,1,FALSE),"")</f>
        <v/>
      </c>
      <c r="H99" s="29" t="str">
        <f>IF('Comptage Décadaire'!H100&lt;&gt;"",VLOOKUP('Comptage Décadaire'!H100,Nomenclature!$D$2:$E$7,2,FALSE),"")</f>
        <v/>
      </c>
      <c r="I99" s="30" t="str">
        <f>IF('Comptage Décadaire'!J100&lt;&gt;"",VLOOKUP('Comptage Décadaire'!J100,'Comptage Décadaire'!J:J,1,FALSE),"")</f>
        <v/>
      </c>
      <c r="J99" s="30" t="str">
        <f>IF('Comptage Décadaire'!K100&lt;&gt;"",VLOOKUP('Comptage Décadaire'!K100,'Comptage Décadaire'!K:K,1,FALSE),"")</f>
        <v/>
      </c>
      <c r="K99" s="30" t="str">
        <f>IF('Comptage Décadaire'!L100&lt;&gt;"",VLOOKUP('Comptage Décadaire'!L100,'Comptage Décadaire'!L:L,1,FALSE),"")</f>
        <v/>
      </c>
      <c r="L99" s="31" t="str">
        <f>IF('Comptage Décadaire'!M100&lt;&gt;"",VLOOKUP('Comptage Décadaire'!M100,'Comptage Décadaire'!M:M,1,FALSE),"")</f>
        <v/>
      </c>
      <c r="M99" s="33" t="str">
        <f>IF('Comptage Décadaire'!N100&lt;&gt;"",VLOOKUP('Comptage Décadaire'!N100,Utilisateurs!$D:$F,3,FALSE),"")</f>
        <v/>
      </c>
      <c r="N99" s="33" t="str">
        <f>IF('Comptage Décadaire'!O100&lt;&gt;"",VLOOKUP('Comptage Décadaire'!O100,Utilisateurs!$D:$F,3,FALSE),"")</f>
        <v/>
      </c>
      <c r="O99" s="33" t="str">
        <f>IF('Comptage Décadaire'!P100&lt;&gt;"",VLOOKUP('Comptage Décadaire'!P100,Utilisateurs!$D:$F,3,FALSE),"")</f>
        <v/>
      </c>
      <c r="P99" s="33" t="str">
        <f>IF('Comptage Décadaire'!Q100&lt;&gt;"",VLOOKUP('Comptage Décadaire'!Q100,Utilisateurs!$D:$F,3,FALSE),"")</f>
        <v/>
      </c>
      <c r="Q99" s="33" t="str">
        <f>IF('Comptage Décadaire'!R100&lt;&gt;"",VLOOKUP('Comptage Décadaire'!R100,Utilisateurs!$D:$F,3,FALSE),"")</f>
        <v/>
      </c>
      <c r="R99" s="30" t="str">
        <f>IF('Comptage Décadaire'!S100&lt;&gt;"",VLOOKUP('Comptage Décadaire'!S100,Nomenclature!$N:$O,2,FALSE),"")</f>
        <v/>
      </c>
      <c r="S99" s="30" t="str">
        <f>IF('Comptage Décadaire'!T100&lt;&gt;"",VLOOKUP('Comptage Décadaire'!T100,'Comptage Décadaire'!T:T,1,FALSE),"")</f>
        <v/>
      </c>
      <c r="T99" s="30" t="str">
        <f>IF('Comptage Décadaire'!U100&lt;&gt;"",VLOOKUP('Comptage Décadaire'!U100,'Comptage Décadaire'!U:U,1,FALSE),"")</f>
        <v/>
      </c>
      <c r="U99" s="30" t="str">
        <f>IF('Comptage Décadaire'!V100&lt;&gt;"",VLOOKUP('Comptage Décadaire'!V100,'Comptage Décadaire'!V:V,1,FALSE),"")</f>
        <v/>
      </c>
      <c r="V99" s="30" t="str">
        <f>IF('Comptage Décadaire'!W100&lt;&gt;"",VLOOKUP('Comptage Décadaire'!W100,'Comptage Décadaire'!W:W,1,FALSE),"")</f>
        <v/>
      </c>
      <c r="W99" s="30" t="str">
        <f>IF('Comptage Décadaire'!X100&lt;&gt;"",VLOOKUP('Comptage Décadaire'!X100,'Comptage Décadaire'!X:X,1,FALSE),"")</f>
        <v/>
      </c>
      <c r="X99" s="30" t="str">
        <f>IF('Comptage Décadaire'!Y100&lt;&gt;"",VLOOKUP('Comptage Décadaire'!Y100,'Comptage Décadaire'!Y:Y,1,FALSE),"")</f>
        <v/>
      </c>
      <c r="Y99" s="30" t="str">
        <f>IF('Comptage Décadaire'!Z100&lt;&gt;"",VLOOKUP('Comptage Décadaire'!Z100,Nomenclature!$F$2:$G$7,2,FALSE),"")</f>
        <v/>
      </c>
      <c r="Z99" s="30" t="str">
        <f>IF('Comptage Décadaire'!AA100&lt;&gt;"",VLOOKUP('Comptage Décadaire'!AA100,Nomenclature!$H$2:$I$31,2,FALSE),"")</f>
        <v/>
      </c>
      <c r="AA99" s="30" t="str">
        <f>IF('Comptage Décadaire'!AB100&lt;&gt;"",VLOOKUP('Comptage Décadaire'!AB100,Nomenclature!$J$2:$K$21,2,FALSE),"")</f>
        <v/>
      </c>
      <c r="AB99" s="30" t="str">
        <f>IF('Comptage Décadaire'!AC100&lt;&gt;"",VLOOKUP('Comptage Décadaire'!AC100,'Comptage Décadaire'!AC:AC,1,FALSE),"")</f>
        <v/>
      </c>
      <c r="AC99" s="32" t="str">
        <f>IF('Comptage Décadaire'!AD100&lt;&gt;"",VLOOKUP('Comptage Décadaire'!AD100,Nomenclature!$L$2:$M$8,2,FALSE),"")</f>
        <v/>
      </c>
      <c r="AD99" s="32" t="str">
        <f>IF('Comptage Décadaire'!AE100&lt;&gt;"",VLOOKUP('Comptage Décadaire'!AE100,Utilisateurs!$D$2:$F$81,3,FALSE),"")</f>
        <v/>
      </c>
      <c r="AE99" s="35" t="str">
        <f>IF('Comptage Décadaire'!AF100&lt;&gt;"",VLOOKUP('Comptage Décadaire'!AF100,'Comptage Décadaire'!AF:AF,1,FALSE),"")</f>
        <v/>
      </c>
      <c r="AF99" s="32" t="str">
        <f>IF('Comptage Décadaire'!AG100&lt;&gt;"",VLOOKUP('Comptage Décadaire'!AG100,'Comptage Décadaire'!AG:AG,1,FALSE),"")</f>
        <v/>
      </c>
    </row>
    <row r="100" spans="1:32" x14ac:dyDescent="0.25">
      <c r="A100" s="25" t="str">
        <f>IF('Comptage Décadaire'!A101&lt;&gt;"",VLOOKUP('Comptage Décadaire'!A101,'Comptage Décadaire'!A:A,1,FALSE),"")</f>
        <v/>
      </c>
      <c r="B100" s="27" t="str">
        <f>IF('Comptage Décadaire'!B101&lt;&gt;"",VLOOKUP('Comptage Décadaire'!B101,'Comptage Décadaire'!B:B,1,FALSE),"")</f>
        <v/>
      </c>
      <c r="C100" s="28" t="str">
        <f>IF('Comptage Décadaire'!C101&lt;&gt;"",VLOOKUP('Comptage Décadaire'!C101,'Comptage Décadaire'!C:C,1,FALSE),"")</f>
        <v/>
      </c>
      <c r="D100" s="29" t="str">
        <f>IF('Comptage Décadaire'!D101&lt;&gt;"",VLOOKUP('Comptage Décadaire'!D101,Sites!$A:$B,2,FALSE),"")</f>
        <v/>
      </c>
      <c r="E100" s="29" t="str">
        <f>IF('Comptage Décadaire'!E101&lt;&gt;"",VLOOKUP('Comptage Décadaire'!E101,'Comptage Décadaire'!E:E,1,FALSE),"")</f>
        <v/>
      </c>
      <c r="F100" s="29" t="str">
        <f>IF('Comptage Décadaire'!F101&lt;&gt;"",VLOOKUP('Comptage Décadaire'!F101,Nomenclature!$B$2:$C$4,2,FALSE),"")</f>
        <v/>
      </c>
      <c r="G100" s="29" t="str">
        <f>IF('Comptage Décadaire'!G101&lt;&gt;"",VLOOKUP('Comptage Décadaire'!G101,'Comptage Décadaire'!G:G,1,FALSE),"")</f>
        <v/>
      </c>
      <c r="H100" s="29" t="str">
        <f>IF('Comptage Décadaire'!H101&lt;&gt;"",VLOOKUP('Comptage Décadaire'!H101,Nomenclature!$D$2:$E$7,2,FALSE),"")</f>
        <v/>
      </c>
      <c r="I100" s="30" t="str">
        <f>IF('Comptage Décadaire'!J101&lt;&gt;"",VLOOKUP('Comptage Décadaire'!J101,'Comptage Décadaire'!J:J,1,FALSE),"")</f>
        <v/>
      </c>
      <c r="J100" s="30" t="str">
        <f>IF('Comptage Décadaire'!K101&lt;&gt;"",VLOOKUP('Comptage Décadaire'!K101,'Comptage Décadaire'!K:K,1,FALSE),"")</f>
        <v/>
      </c>
      <c r="K100" s="30" t="str">
        <f>IF('Comptage Décadaire'!L101&lt;&gt;"",VLOOKUP('Comptage Décadaire'!L101,'Comptage Décadaire'!L:L,1,FALSE),"")</f>
        <v/>
      </c>
      <c r="L100" s="31" t="str">
        <f>IF('Comptage Décadaire'!M101&lt;&gt;"",VLOOKUP('Comptage Décadaire'!M101,'Comptage Décadaire'!M:M,1,FALSE),"")</f>
        <v/>
      </c>
      <c r="M100" s="33" t="str">
        <f>IF('Comptage Décadaire'!N101&lt;&gt;"",VLOOKUP('Comptage Décadaire'!N101,Utilisateurs!$D:$F,3,FALSE),"")</f>
        <v/>
      </c>
      <c r="N100" s="33" t="str">
        <f>IF('Comptage Décadaire'!O101&lt;&gt;"",VLOOKUP('Comptage Décadaire'!O101,Utilisateurs!$D:$F,3,FALSE),"")</f>
        <v/>
      </c>
      <c r="O100" s="33" t="str">
        <f>IF('Comptage Décadaire'!P101&lt;&gt;"",VLOOKUP('Comptage Décadaire'!P101,Utilisateurs!$D:$F,3,FALSE),"")</f>
        <v/>
      </c>
      <c r="P100" s="33" t="str">
        <f>IF('Comptage Décadaire'!Q101&lt;&gt;"",VLOOKUP('Comptage Décadaire'!Q101,Utilisateurs!$D:$F,3,FALSE),"")</f>
        <v/>
      </c>
      <c r="Q100" s="33" t="str">
        <f>IF('Comptage Décadaire'!R101&lt;&gt;"",VLOOKUP('Comptage Décadaire'!R101,Utilisateurs!$D:$F,3,FALSE),"")</f>
        <v/>
      </c>
      <c r="R100" s="30" t="str">
        <f>IF('Comptage Décadaire'!S101&lt;&gt;"",VLOOKUP('Comptage Décadaire'!S101,Nomenclature!$N:$O,2,FALSE),"")</f>
        <v/>
      </c>
      <c r="S100" s="30" t="str">
        <f>IF('Comptage Décadaire'!T101&lt;&gt;"",VLOOKUP('Comptage Décadaire'!T101,'Comptage Décadaire'!T:T,1,FALSE),"")</f>
        <v/>
      </c>
      <c r="T100" s="30" t="str">
        <f>IF('Comptage Décadaire'!U101&lt;&gt;"",VLOOKUP('Comptage Décadaire'!U101,'Comptage Décadaire'!U:U,1,FALSE),"")</f>
        <v/>
      </c>
      <c r="U100" s="30" t="str">
        <f>IF('Comptage Décadaire'!V101&lt;&gt;"",VLOOKUP('Comptage Décadaire'!V101,'Comptage Décadaire'!V:V,1,FALSE),"")</f>
        <v/>
      </c>
      <c r="V100" s="30" t="str">
        <f>IF('Comptage Décadaire'!W101&lt;&gt;"",VLOOKUP('Comptage Décadaire'!W101,'Comptage Décadaire'!W:W,1,FALSE),"")</f>
        <v/>
      </c>
      <c r="W100" s="30" t="str">
        <f>IF('Comptage Décadaire'!X101&lt;&gt;"",VLOOKUP('Comptage Décadaire'!X101,'Comptage Décadaire'!X:X,1,FALSE),"")</f>
        <v/>
      </c>
      <c r="X100" s="30" t="str">
        <f>IF('Comptage Décadaire'!Y101&lt;&gt;"",VLOOKUP('Comptage Décadaire'!Y101,'Comptage Décadaire'!Y:Y,1,FALSE),"")</f>
        <v/>
      </c>
      <c r="Y100" s="30" t="str">
        <f>IF('Comptage Décadaire'!Z101&lt;&gt;"",VLOOKUP('Comptage Décadaire'!Z101,Nomenclature!$F$2:$G$7,2,FALSE),"")</f>
        <v/>
      </c>
      <c r="Z100" s="30" t="str">
        <f>IF('Comptage Décadaire'!AA101&lt;&gt;"",VLOOKUP('Comptage Décadaire'!AA101,Nomenclature!$H$2:$I$31,2,FALSE),"")</f>
        <v/>
      </c>
      <c r="AA100" s="30" t="str">
        <f>IF('Comptage Décadaire'!AB101&lt;&gt;"",VLOOKUP('Comptage Décadaire'!AB101,Nomenclature!$J$2:$K$21,2,FALSE),"")</f>
        <v/>
      </c>
      <c r="AB100" s="30" t="str">
        <f>IF('Comptage Décadaire'!AC101&lt;&gt;"",VLOOKUP('Comptage Décadaire'!AC101,'Comptage Décadaire'!AC:AC,1,FALSE),"")</f>
        <v/>
      </c>
      <c r="AC100" s="32" t="str">
        <f>IF('Comptage Décadaire'!AD101&lt;&gt;"",VLOOKUP('Comptage Décadaire'!AD101,Nomenclature!$L$2:$M$8,2,FALSE),"")</f>
        <v/>
      </c>
      <c r="AD100" s="32" t="str">
        <f>IF('Comptage Décadaire'!AE101&lt;&gt;"",VLOOKUP('Comptage Décadaire'!AE101,Utilisateurs!$D$2:$F$81,3,FALSE),"")</f>
        <v/>
      </c>
      <c r="AE100" s="35" t="str">
        <f>IF('Comptage Décadaire'!AF101&lt;&gt;"",VLOOKUP('Comptage Décadaire'!AF101,'Comptage Décadaire'!AF:AF,1,FALSE),"")</f>
        <v/>
      </c>
      <c r="AF100" s="32" t="str">
        <f>IF('Comptage Décadaire'!AG101&lt;&gt;"",VLOOKUP('Comptage Décadaire'!AG101,'Comptage Décadaire'!AG:AG,1,FALSE),"")</f>
        <v/>
      </c>
    </row>
    <row r="101" spans="1:32" x14ac:dyDescent="0.25">
      <c r="A101" s="25" t="str">
        <f>IF('Comptage Décadaire'!A102&lt;&gt;"",VLOOKUP('Comptage Décadaire'!A102,'Comptage Décadaire'!A:A,1,FALSE),"")</f>
        <v/>
      </c>
      <c r="B101" s="27" t="str">
        <f>IF('Comptage Décadaire'!B102&lt;&gt;"",VLOOKUP('Comptage Décadaire'!B102,'Comptage Décadaire'!B:B,1,FALSE),"")</f>
        <v/>
      </c>
      <c r="C101" s="28" t="str">
        <f>IF('Comptage Décadaire'!C102&lt;&gt;"",VLOOKUP('Comptage Décadaire'!C102,'Comptage Décadaire'!C:C,1,FALSE),"")</f>
        <v/>
      </c>
      <c r="D101" s="29" t="str">
        <f>IF('Comptage Décadaire'!D102&lt;&gt;"",VLOOKUP('Comptage Décadaire'!D102,Sites!$A:$B,2,FALSE),"")</f>
        <v/>
      </c>
      <c r="E101" s="29" t="str">
        <f>IF('Comptage Décadaire'!E102&lt;&gt;"",VLOOKUP('Comptage Décadaire'!E102,'Comptage Décadaire'!E:E,1,FALSE),"")</f>
        <v/>
      </c>
      <c r="F101" s="29" t="str">
        <f>IF('Comptage Décadaire'!F102&lt;&gt;"",VLOOKUP('Comptage Décadaire'!F102,Nomenclature!$B$2:$C$4,2,FALSE),"")</f>
        <v/>
      </c>
      <c r="G101" s="29" t="str">
        <f>IF('Comptage Décadaire'!G102&lt;&gt;"",VLOOKUP('Comptage Décadaire'!G102,'Comptage Décadaire'!G:G,1,FALSE),"")</f>
        <v/>
      </c>
      <c r="H101" s="29" t="str">
        <f>IF('Comptage Décadaire'!H102&lt;&gt;"",VLOOKUP('Comptage Décadaire'!H102,Nomenclature!$D$2:$E$7,2,FALSE),"")</f>
        <v/>
      </c>
      <c r="I101" s="30" t="str">
        <f>IF('Comptage Décadaire'!J102&lt;&gt;"",VLOOKUP('Comptage Décadaire'!J102,'Comptage Décadaire'!J:J,1,FALSE),"")</f>
        <v/>
      </c>
      <c r="J101" s="30" t="str">
        <f>IF('Comptage Décadaire'!K102&lt;&gt;"",VLOOKUP('Comptage Décadaire'!K102,'Comptage Décadaire'!K:K,1,FALSE),"")</f>
        <v/>
      </c>
      <c r="K101" s="30" t="str">
        <f>IF('Comptage Décadaire'!L102&lt;&gt;"",VLOOKUP('Comptage Décadaire'!L102,'Comptage Décadaire'!L:L,1,FALSE),"")</f>
        <v/>
      </c>
      <c r="L101" s="31" t="str">
        <f>IF('Comptage Décadaire'!M102&lt;&gt;"",VLOOKUP('Comptage Décadaire'!M102,'Comptage Décadaire'!M:M,1,FALSE),"")</f>
        <v/>
      </c>
      <c r="M101" s="33" t="str">
        <f>IF('Comptage Décadaire'!N102&lt;&gt;"",VLOOKUP('Comptage Décadaire'!N102,Utilisateurs!$D:$F,3,FALSE),"")</f>
        <v/>
      </c>
      <c r="N101" s="33" t="str">
        <f>IF('Comptage Décadaire'!O102&lt;&gt;"",VLOOKUP('Comptage Décadaire'!O102,Utilisateurs!$D:$F,3,FALSE),"")</f>
        <v/>
      </c>
      <c r="O101" s="33" t="str">
        <f>IF('Comptage Décadaire'!P102&lt;&gt;"",VLOOKUP('Comptage Décadaire'!P102,Utilisateurs!$D:$F,3,FALSE),"")</f>
        <v/>
      </c>
      <c r="P101" s="33" t="str">
        <f>IF('Comptage Décadaire'!Q102&lt;&gt;"",VLOOKUP('Comptage Décadaire'!Q102,Utilisateurs!$D:$F,3,FALSE),"")</f>
        <v/>
      </c>
      <c r="Q101" s="33" t="str">
        <f>IF('Comptage Décadaire'!R102&lt;&gt;"",VLOOKUP('Comptage Décadaire'!R102,Utilisateurs!$D:$F,3,FALSE),"")</f>
        <v/>
      </c>
      <c r="R101" s="30" t="str">
        <f>IF('Comptage Décadaire'!S102&lt;&gt;"",VLOOKUP('Comptage Décadaire'!S102,Nomenclature!$N:$O,2,FALSE),"")</f>
        <v/>
      </c>
      <c r="S101" s="30" t="str">
        <f>IF('Comptage Décadaire'!T102&lt;&gt;"",VLOOKUP('Comptage Décadaire'!T102,'Comptage Décadaire'!T:T,1,FALSE),"")</f>
        <v/>
      </c>
      <c r="T101" s="30" t="str">
        <f>IF('Comptage Décadaire'!U102&lt;&gt;"",VLOOKUP('Comptage Décadaire'!U102,'Comptage Décadaire'!U:U,1,FALSE),"")</f>
        <v/>
      </c>
      <c r="U101" s="30" t="str">
        <f>IF('Comptage Décadaire'!V102&lt;&gt;"",VLOOKUP('Comptage Décadaire'!V102,'Comptage Décadaire'!V:V,1,FALSE),"")</f>
        <v/>
      </c>
      <c r="V101" s="30" t="str">
        <f>IF('Comptage Décadaire'!W102&lt;&gt;"",VLOOKUP('Comptage Décadaire'!W102,'Comptage Décadaire'!W:W,1,FALSE),"")</f>
        <v/>
      </c>
      <c r="W101" s="30" t="str">
        <f>IF('Comptage Décadaire'!X102&lt;&gt;"",VLOOKUP('Comptage Décadaire'!X102,'Comptage Décadaire'!X:X,1,FALSE),"")</f>
        <v/>
      </c>
      <c r="X101" s="30" t="str">
        <f>IF('Comptage Décadaire'!Y102&lt;&gt;"",VLOOKUP('Comptage Décadaire'!Y102,'Comptage Décadaire'!Y:Y,1,FALSE),"")</f>
        <v/>
      </c>
      <c r="Y101" s="30" t="str">
        <f>IF('Comptage Décadaire'!Z102&lt;&gt;"",VLOOKUP('Comptage Décadaire'!Z102,Nomenclature!$F$2:$G$7,2,FALSE),"")</f>
        <v/>
      </c>
      <c r="Z101" s="30" t="str">
        <f>IF('Comptage Décadaire'!AA102&lt;&gt;"",VLOOKUP('Comptage Décadaire'!AA102,Nomenclature!$H$2:$I$31,2,FALSE),"")</f>
        <v/>
      </c>
      <c r="AA101" s="30" t="str">
        <f>IF('Comptage Décadaire'!AB102&lt;&gt;"",VLOOKUP('Comptage Décadaire'!AB102,Nomenclature!$J$2:$K$21,2,FALSE),"")</f>
        <v/>
      </c>
      <c r="AB101" s="30" t="str">
        <f>IF('Comptage Décadaire'!AC102&lt;&gt;"",VLOOKUP('Comptage Décadaire'!AC102,'Comptage Décadaire'!AC:AC,1,FALSE),"")</f>
        <v/>
      </c>
      <c r="AC101" s="32" t="str">
        <f>IF('Comptage Décadaire'!AD102&lt;&gt;"",VLOOKUP('Comptage Décadaire'!AD102,Nomenclature!$L$2:$M$8,2,FALSE),"")</f>
        <v/>
      </c>
      <c r="AD101" s="32" t="str">
        <f>IF('Comptage Décadaire'!AE102&lt;&gt;"",VLOOKUP('Comptage Décadaire'!AE102,Utilisateurs!$D$2:$F$81,3,FALSE),"")</f>
        <v/>
      </c>
      <c r="AE101" s="35" t="str">
        <f>IF('Comptage Décadaire'!AF102&lt;&gt;"",VLOOKUP('Comptage Décadaire'!AF102,'Comptage Décadaire'!AF:AF,1,FALSE),"")</f>
        <v/>
      </c>
      <c r="AF101" s="32" t="str">
        <f>IF('Comptage Décadaire'!AG102&lt;&gt;"",VLOOKUP('Comptage Décadaire'!AG102,'Comptage Décadaire'!AG:AG,1,FALSE),"")</f>
        <v/>
      </c>
    </row>
    <row r="102" spans="1:32" x14ac:dyDescent="0.25">
      <c r="A102" s="25" t="str">
        <f>IF('Comptage Décadaire'!A103&lt;&gt;"",VLOOKUP('Comptage Décadaire'!A103,'Comptage Décadaire'!A:A,1,FALSE),"")</f>
        <v/>
      </c>
      <c r="B102" s="27" t="str">
        <f>IF('Comptage Décadaire'!B103&lt;&gt;"",VLOOKUP('Comptage Décadaire'!B103,'Comptage Décadaire'!B:B,1,FALSE),"")</f>
        <v/>
      </c>
      <c r="C102" s="28" t="str">
        <f>IF('Comptage Décadaire'!C103&lt;&gt;"",VLOOKUP('Comptage Décadaire'!C103,'Comptage Décadaire'!C:C,1,FALSE),"")</f>
        <v/>
      </c>
      <c r="D102" s="29" t="str">
        <f>IF('Comptage Décadaire'!D103&lt;&gt;"",VLOOKUP('Comptage Décadaire'!D103,Sites!$A:$B,2,FALSE),"")</f>
        <v/>
      </c>
      <c r="E102" s="29" t="str">
        <f>IF('Comptage Décadaire'!E103&lt;&gt;"",VLOOKUP('Comptage Décadaire'!E103,'Comptage Décadaire'!E:E,1,FALSE),"")</f>
        <v/>
      </c>
      <c r="F102" s="29" t="str">
        <f>IF('Comptage Décadaire'!F103&lt;&gt;"",VLOOKUP('Comptage Décadaire'!F103,Nomenclature!$B$2:$C$4,2,FALSE),"")</f>
        <v/>
      </c>
      <c r="G102" s="29" t="str">
        <f>IF('Comptage Décadaire'!G103&lt;&gt;"",VLOOKUP('Comptage Décadaire'!G103,'Comptage Décadaire'!G:G,1,FALSE),"")</f>
        <v/>
      </c>
      <c r="H102" s="29" t="str">
        <f>IF('Comptage Décadaire'!H103&lt;&gt;"",VLOOKUP('Comptage Décadaire'!H103,Nomenclature!$D$2:$E$7,2,FALSE),"")</f>
        <v/>
      </c>
      <c r="I102" s="30" t="str">
        <f>IF('Comptage Décadaire'!J103&lt;&gt;"",VLOOKUP('Comptage Décadaire'!J103,'Comptage Décadaire'!J:J,1,FALSE),"")</f>
        <v/>
      </c>
      <c r="J102" s="30" t="str">
        <f>IF('Comptage Décadaire'!K103&lt;&gt;"",VLOOKUP('Comptage Décadaire'!K103,'Comptage Décadaire'!K:K,1,FALSE),"")</f>
        <v/>
      </c>
      <c r="K102" s="30" t="str">
        <f>IF('Comptage Décadaire'!L103&lt;&gt;"",VLOOKUP('Comptage Décadaire'!L103,'Comptage Décadaire'!L:L,1,FALSE),"")</f>
        <v/>
      </c>
      <c r="L102" s="31" t="str">
        <f>IF('Comptage Décadaire'!M103&lt;&gt;"",VLOOKUP('Comptage Décadaire'!M103,'Comptage Décadaire'!M:M,1,FALSE),"")</f>
        <v/>
      </c>
      <c r="M102" s="33" t="str">
        <f>IF('Comptage Décadaire'!N103&lt;&gt;"",VLOOKUP('Comptage Décadaire'!N103,Utilisateurs!$D:$F,3,FALSE),"")</f>
        <v/>
      </c>
      <c r="N102" s="33" t="str">
        <f>IF('Comptage Décadaire'!O103&lt;&gt;"",VLOOKUP('Comptage Décadaire'!O103,Utilisateurs!$D:$F,3,FALSE),"")</f>
        <v/>
      </c>
      <c r="O102" s="33" t="str">
        <f>IF('Comptage Décadaire'!P103&lt;&gt;"",VLOOKUP('Comptage Décadaire'!P103,Utilisateurs!$D:$F,3,FALSE),"")</f>
        <v/>
      </c>
      <c r="P102" s="33" t="str">
        <f>IF('Comptage Décadaire'!Q103&lt;&gt;"",VLOOKUP('Comptage Décadaire'!Q103,Utilisateurs!$D:$F,3,FALSE),"")</f>
        <v/>
      </c>
      <c r="Q102" s="33" t="str">
        <f>IF('Comptage Décadaire'!R103&lt;&gt;"",VLOOKUP('Comptage Décadaire'!R103,Utilisateurs!$D:$F,3,FALSE),"")</f>
        <v/>
      </c>
      <c r="R102" s="30" t="str">
        <f>IF('Comptage Décadaire'!S103&lt;&gt;"",VLOOKUP('Comptage Décadaire'!S103,Nomenclature!$N:$O,2,FALSE),"")</f>
        <v/>
      </c>
      <c r="S102" s="30" t="str">
        <f>IF('Comptage Décadaire'!T103&lt;&gt;"",VLOOKUP('Comptage Décadaire'!T103,'Comptage Décadaire'!T:T,1,FALSE),"")</f>
        <v/>
      </c>
      <c r="T102" s="30" t="str">
        <f>IF('Comptage Décadaire'!U103&lt;&gt;"",VLOOKUP('Comptage Décadaire'!U103,'Comptage Décadaire'!U:U,1,FALSE),"")</f>
        <v/>
      </c>
      <c r="U102" s="30" t="str">
        <f>IF('Comptage Décadaire'!V103&lt;&gt;"",VLOOKUP('Comptage Décadaire'!V103,'Comptage Décadaire'!V:V,1,FALSE),"")</f>
        <v/>
      </c>
      <c r="V102" s="30" t="str">
        <f>IF('Comptage Décadaire'!W103&lt;&gt;"",VLOOKUP('Comptage Décadaire'!W103,'Comptage Décadaire'!W:W,1,FALSE),"")</f>
        <v/>
      </c>
      <c r="W102" s="30" t="str">
        <f>IF('Comptage Décadaire'!X103&lt;&gt;"",VLOOKUP('Comptage Décadaire'!X103,'Comptage Décadaire'!X:X,1,FALSE),"")</f>
        <v/>
      </c>
      <c r="X102" s="30" t="str">
        <f>IF('Comptage Décadaire'!Y103&lt;&gt;"",VLOOKUP('Comptage Décadaire'!Y103,'Comptage Décadaire'!Y:Y,1,FALSE),"")</f>
        <v/>
      </c>
      <c r="Y102" s="30" t="str">
        <f>IF('Comptage Décadaire'!Z103&lt;&gt;"",VLOOKUP('Comptage Décadaire'!Z103,Nomenclature!$F$2:$G$7,2,FALSE),"")</f>
        <v/>
      </c>
      <c r="Z102" s="30" t="str">
        <f>IF('Comptage Décadaire'!AA103&lt;&gt;"",VLOOKUP('Comptage Décadaire'!AA103,Nomenclature!$H$2:$I$31,2,FALSE),"")</f>
        <v/>
      </c>
      <c r="AA102" s="30" t="str">
        <f>IF('Comptage Décadaire'!AB103&lt;&gt;"",VLOOKUP('Comptage Décadaire'!AB103,Nomenclature!$J$2:$K$21,2,FALSE),"")</f>
        <v/>
      </c>
      <c r="AB102" s="30" t="str">
        <f>IF('Comptage Décadaire'!AC103&lt;&gt;"",VLOOKUP('Comptage Décadaire'!AC103,'Comptage Décadaire'!AC:AC,1,FALSE),"")</f>
        <v/>
      </c>
      <c r="AC102" s="32" t="str">
        <f>IF('Comptage Décadaire'!AD103&lt;&gt;"",VLOOKUP('Comptage Décadaire'!AD103,Nomenclature!$L$2:$M$8,2,FALSE),"")</f>
        <v/>
      </c>
      <c r="AD102" s="32" t="str">
        <f>IF('Comptage Décadaire'!AE103&lt;&gt;"",VLOOKUP('Comptage Décadaire'!AE103,Utilisateurs!$D$2:$F$81,3,FALSE),"")</f>
        <v/>
      </c>
      <c r="AE102" s="35" t="str">
        <f>IF('Comptage Décadaire'!AF103&lt;&gt;"",VLOOKUP('Comptage Décadaire'!AF103,'Comptage Décadaire'!AF:AF,1,FALSE),"")</f>
        <v/>
      </c>
      <c r="AF102" s="32" t="str">
        <f>IF('Comptage Décadaire'!AG103&lt;&gt;"",VLOOKUP('Comptage Décadaire'!AG103,'Comptage Décadaire'!AG:AG,1,FALSE),"")</f>
        <v/>
      </c>
    </row>
    <row r="103" spans="1:32" x14ac:dyDescent="0.25">
      <c r="A103" s="25" t="str">
        <f>IF('Comptage Décadaire'!A104&lt;&gt;"",VLOOKUP('Comptage Décadaire'!A104,'Comptage Décadaire'!A:A,1,FALSE),"")</f>
        <v/>
      </c>
      <c r="B103" s="27" t="str">
        <f>IF('Comptage Décadaire'!B104&lt;&gt;"",VLOOKUP('Comptage Décadaire'!B104,'Comptage Décadaire'!B:B,1,FALSE),"")</f>
        <v/>
      </c>
      <c r="C103" s="28" t="str">
        <f>IF('Comptage Décadaire'!C104&lt;&gt;"",VLOOKUP('Comptage Décadaire'!C104,'Comptage Décadaire'!C:C,1,FALSE),"")</f>
        <v/>
      </c>
      <c r="D103" s="29" t="str">
        <f>IF('Comptage Décadaire'!D104&lt;&gt;"",VLOOKUP('Comptage Décadaire'!D104,Sites!$A:$B,2,FALSE),"")</f>
        <v/>
      </c>
      <c r="E103" s="29" t="str">
        <f>IF('Comptage Décadaire'!E104&lt;&gt;"",VLOOKUP('Comptage Décadaire'!E104,'Comptage Décadaire'!E:E,1,FALSE),"")</f>
        <v/>
      </c>
      <c r="F103" s="29" t="str">
        <f>IF('Comptage Décadaire'!F104&lt;&gt;"",VLOOKUP('Comptage Décadaire'!F104,Nomenclature!$B$2:$C$4,2,FALSE),"")</f>
        <v/>
      </c>
      <c r="G103" s="29" t="str">
        <f>IF('Comptage Décadaire'!G104&lt;&gt;"",VLOOKUP('Comptage Décadaire'!G104,'Comptage Décadaire'!G:G,1,FALSE),"")</f>
        <v/>
      </c>
      <c r="H103" s="29" t="str">
        <f>IF('Comptage Décadaire'!H104&lt;&gt;"",VLOOKUP('Comptage Décadaire'!H104,Nomenclature!$D$2:$E$7,2,FALSE),"")</f>
        <v/>
      </c>
      <c r="I103" s="30" t="str">
        <f>IF('Comptage Décadaire'!J104&lt;&gt;"",VLOOKUP('Comptage Décadaire'!J104,'Comptage Décadaire'!J:J,1,FALSE),"")</f>
        <v/>
      </c>
      <c r="J103" s="30" t="str">
        <f>IF('Comptage Décadaire'!K104&lt;&gt;"",VLOOKUP('Comptage Décadaire'!K104,'Comptage Décadaire'!K:K,1,FALSE),"")</f>
        <v/>
      </c>
      <c r="K103" s="30" t="str">
        <f>IF('Comptage Décadaire'!L104&lt;&gt;"",VLOOKUP('Comptage Décadaire'!L104,'Comptage Décadaire'!L:L,1,FALSE),"")</f>
        <v/>
      </c>
      <c r="L103" s="31" t="str">
        <f>IF('Comptage Décadaire'!M104&lt;&gt;"",VLOOKUP('Comptage Décadaire'!M104,'Comptage Décadaire'!M:M,1,FALSE),"")</f>
        <v/>
      </c>
      <c r="M103" s="33" t="str">
        <f>IF('Comptage Décadaire'!N104&lt;&gt;"",VLOOKUP('Comptage Décadaire'!N104,Utilisateurs!$D:$F,3,FALSE),"")</f>
        <v/>
      </c>
      <c r="N103" s="33" t="str">
        <f>IF('Comptage Décadaire'!O104&lt;&gt;"",VLOOKUP('Comptage Décadaire'!O104,Utilisateurs!$D:$F,3,FALSE),"")</f>
        <v/>
      </c>
      <c r="O103" s="33" t="str">
        <f>IF('Comptage Décadaire'!P104&lt;&gt;"",VLOOKUP('Comptage Décadaire'!P104,Utilisateurs!$D:$F,3,FALSE),"")</f>
        <v/>
      </c>
      <c r="P103" s="33" t="str">
        <f>IF('Comptage Décadaire'!Q104&lt;&gt;"",VLOOKUP('Comptage Décadaire'!Q104,Utilisateurs!$D:$F,3,FALSE),"")</f>
        <v/>
      </c>
      <c r="Q103" s="33" t="str">
        <f>IF('Comptage Décadaire'!R104&lt;&gt;"",VLOOKUP('Comptage Décadaire'!R104,Utilisateurs!$D:$F,3,FALSE),"")</f>
        <v/>
      </c>
      <c r="R103" s="30" t="str">
        <f>IF('Comptage Décadaire'!S104&lt;&gt;"",VLOOKUP('Comptage Décadaire'!S104,Nomenclature!$N:$O,2,FALSE),"")</f>
        <v/>
      </c>
      <c r="S103" s="30" t="str">
        <f>IF('Comptage Décadaire'!T104&lt;&gt;"",VLOOKUP('Comptage Décadaire'!T104,'Comptage Décadaire'!T:T,1,FALSE),"")</f>
        <v/>
      </c>
      <c r="T103" s="30" t="str">
        <f>IF('Comptage Décadaire'!U104&lt;&gt;"",VLOOKUP('Comptage Décadaire'!U104,'Comptage Décadaire'!U:U,1,FALSE),"")</f>
        <v/>
      </c>
      <c r="U103" s="30" t="str">
        <f>IF('Comptage Décadaire'!V104&lt;&gt;"",VLOOKUP('Comptage Décadaire'!V104,'Comptage Décadaire'!V:V,1,FALSE),"")</f>
        <v/>
      </c>
      <c r="V103" s="30" t="str">
        <f>IF('Comptage Décadaire'!W104&lt;&gt;"",VLOOKUP('Comptage Décadaire'!W104,'Comptage Décadaire'!W:W,1,FALSE),"")</f>
        <v/>
      </c>
      <c r="W103" s="30" t="str">
        <f>IF('Comptage Décadaire'!X104&lt;&gt;"",VLOOKUP('Comptage Décadaire'!X104,'Comptage Décadaire'!X:X,1,FALSE),"")</f>
        <v/>
      </c>
      <c r="X103" s="30" t="str">
        <f>IF('Comptage Décadaire'!Y104&lt;&gt;"",VLOOKUP('Comptage Décadaire'!Y104,'Comptage Décadaire'!Y:Y,1,FALSE),"")</f>
        <v/>
      </c>
      <c r="Y103" s="30" t="str">
        <f>IF('Comptage Décadaire'!Z104&lt;&gt;"",VLOOKUP('Comptage Décadaire'!Z104,Nomenclature!$F$2:$G$7,2,FALSE),"")</f>
        <v/>
      </c>
      <c r="Z103" s="30" t="str">
        <f>IF('Comptage Décadaire'!AA104&lt;&gt;"",VLOOKUP('Comptage Décadaire'!AA104,Nomenclature!$H$2:$I$31,2,FALSE),"")</f>
        <v/>
      </c>
      <c r="AA103" s="30" t="str">
        <f>IF('Comptage Décadaire'!AB104&lt;&gt;"",VLOOKUP('Comptage Décadaire'!AB104,Nomenclature!$J$2:$K$21,2,FALSE),"")</f>
        <v/>
      </c>
      <c r="AB103" s="30" t="str">
        <f>IF('Comptage Décadaire'!AC104&lt;&gt;"",VLOOKUP('Comptage Décadaire'!AC104,'Comptage Décadaire'!AC:AC,1,FALSE),"")</f>
        <v/>
      </c>
      <c r="AC103" s="32" t="str">
        <f>IF('Comptage Décadaire'!AD104&lt;&gt;"",VLOOKUP('Comptage Décadaire'!AD104,Nomenclature!$L$2:$M$8,2,FALSE),"")</f>
        <v/>
      </c>
      <c r="AD103" s="32" t="str">
        <f>IF('Comptage Décadaire'!AE104&lt;&gt;"",VLOOKUP('Comptage Décadaire'!AE104,Utilisateurs!$D$2:$F$81,3,FALSE),"")</f>
        <v/>
      </c>
      <c r="AE103" s="35" t="str">
        <f>IF('Comptage Décadaire'!AF104&lt;&gt;"",VLOOKUP('Comptage Décadaire'!AF104,'Comptage Décadaire'!AF:AF,1,FALSE),"")</f>
        <v/>
      </c>
      <c r="AF103" s="32" t="str">
        <f>IF('Comptage Décadaire'!AG104&lt;&gt;"",VLOOKUP('Comptage Décadaire'!AG104,'Comptage Décadaire'!AG:AG,1,FALSE),"")</f>
        <v/>
      </c>
    </row>
    <row r="104" spans="1:32" x14ac:dyDescent="0.25">
      <c r="A104" s="25" t="str">
        <f>IF('Comptage Décadaire'!A105&lt;&gt;"",VLOOKUP('Comptage Décadaire'!A105,'Comptage Décadaire'!A:A,1,FALSE),"")</f>
        <v/>
      </c>
      <c r="B104" s="27" t="str">
        <f>IF('Comptage Décadaire'!B105&lt;&gt;"",VLOOKUP('Comptage Décadaire'!B105,'Comptage Décadaire'!B:B,1,FALSE),"")</f>
        <v/>
      </c>
      <c r="C104" s="28" t="str">
        <f>IF('Comptage Décadaire'!C105&lt;&gt;"",VLOOKUP('Comptage Décadaire'!C105,'Comptage Décadaire'!C:C,1,FALSE),"")</f>
        <v/>
      </c>
      <c r="D104" s="29" t="str">
        <f>IF('Comptage Décadaire'!D105&lt;&gt;"",VLOOKUP('Comptage Décadaire'!D105,Sites!$A:$B,2,FALSE),"")</f>
        <v/>
      </c>
      <c r="E104" s="29" t="str">
        <f>IF('Comptage Décadaire'!E105&lt;&gt;"",VLOOKUP('Comptage Décadaire'!E105,'Comptage Décadaire'!E:E,1,FALSE),"")</f>
        <v/>
      </c>
      <c r="F104" s="29" t="str">
        <f>IF('Comptage Décadaire'!F105&lt;&gt;"",VLOOKUP('Comptage Décadaire'!F105,Nomenclature!$B$2:$C$4,2,FALSE),"")</f>
        <v/>
      </c>
      <c r="G104" s="29" t="str">
        <f>IF('Comptage Décadaire'!G105&lt;&gt;"",VLOOKUP('Comptage Décadaire'!G105,'Comptage Décadaire'!G:G,1,FALSE),"")</f>
        <v/>
      </c>
      <c r="H104" s="29" t="str">
        <f>IF('Comptage Décadaire'!H105&lt;&gt;"",VLOOKUP('Comptage Décadaire'!H105,Nomenclature!$D$2:$E$7,2,FALSE),"")</f>
        <v/>
      </c>
      <c r="I104" s="30" t="str">
        <f>IF('Comptage Décadaire'!J105&lt;&gt;"",VLOOKUP('Comptage Décadaire'!J105,'Comptage Décadaire'!J:J,1,FALSE),"")</f>
        <v/>
      </c>
      <c r="J104" s="30" t="str">
        <f>IF('Comptage Décadaire'!K105&lt;&gt;"",VLOOKUP('Comptage Décadaire'!K105,'Comptage Décadaire'!K:K,1,FALSE),"")</f>
        <v/>
      </c>
      <c r="K104" s="30" t="str">
        <f>IF('Comptage Décadaire'!L105&lt;&gt;"",VLOOKUP('Comptage Décadaire'!L105,'Comptage Décadaire'!L:L,1,FALSE),"")</f>
        <v/>
      </c>
      <c r="L104" s="31" t="str">
        <f>IF('Comptage Décadaire'!M105&lt;&gt;"",VLOOKUP('Comptage Décadaire'!M105,'Comptage Décadaire'!M:M,1,FALSE),"")</f>
        <v/>
      </c>
      <c r="M104" s="33" t="str">
        <f>IF('Comptage Décadaire'!N105&lt;&gt;"",VLOOKUP('Comptage Décadaire'!N105,Utilisateurs!$D:$F,3,FALSE),"")</f>
        <v/>
      </c>
      <c r="N104" s="33" t="str">
        <f>IF('Comptage Décadaire'!O105&lt;&gt;"",VLOOKUP('Comptage Décadaire'!O105,Utilisateurs!$D:$F,3,FALSE),"")</f>
        <v/>
      </c>
      <c r="O104" s="33" t="str">
        <f>IF('Comptage Décadaire'!P105&lt;&gt;"",VLOOKUP('Comptage Décadaire'!P105,Utilisateurs!$D:$F,3,FALSE),"")</f>
        <v/>
      </c>
      <c r="P104" s="33" t="str">
        <f>IF('Comptage Décadaire'!Q105&lt;&gt;"",VLOOKUP('Comptage Décadaire'!Q105,Utilisateurs!$D:$F,3,FALSE),"")</f>
        <v/>
      </c>
      <c r="Q104" s="33" t="str">
        <f>IF('Comptage Décadaire'!R105&lt;&gt;"",VLOOKUP('Comptage Décadaire'!R105,Utilisateurs!$D:$F,3,FALSE),"")</f>
        <v/>
      </c>
      <c r="R104" s="30" t="str">
        <f>IF('Comptage Décadaire'!S105&lt;&gt;"",VLOOKUP('Comptage Décadaire'!S105,Nomenclature!$N:$O,2,FALSE),"")</f>
        <v/>
      </c>
      <c r="S104" s="30" t="str">
        <f>IF('Comptage Décadaire'!T105&lt;&gt;"",VLOOKUP('Comptage Décadaire'!T105,'Comptage Décadaire'!T:T,1,FALSE),"")</f>
        <v/>
      </c>
      <c r="T104" s="30" t="str">
        <f>IF('Comptage Décadaire'!U105&lt;&gt;"",VLOOKUP('Comptage Décadaire'!U105,'Comptage Décadaire'!U:U,1,FALSE),"")</f>
        <v/>
      </c>
      <c r="U104" s="30" t="str">
        <f>IF('Comptage Décadaire'!V105&lt;&gt;"",VLOOKUP('Comptage Décadaire'!V105,'Comptage Décadaire'!V:V,1,FALSE),"")</f>
        <v/>
      </c>
      <c r="V104" s="30" t="str">
        <f>IF('Comptage Décadaire'!W105&lt;&gt;"",VLOOKUP('Comptage Décadaire'!W105,'Comptage Décadaire'!W:W,1,FALSE),"")</f>
        <v/>
      </c>
      <c r="W104" s="30" t="str">
        <f>IF('Comptage Décadaire'!X105&lt;&gt;"",VLOOKUP('Comptage Décadaire'!X105,'Comptage Décadaire'!X:X,1,FALSE),"")</f>
        <v/>
      </c>
      <c r="X104" s="30" t="str">
        <f>IF('Comptage Décadaire'!Y105&lt;&gt;"",VLOOKUP('Comptage Décadaire'!Y105,'Comptage Décadaire'!Y:Y,1,FALSE),"")</f>
        <v/>
      </c>
      <c r="Y104" s="30" t="str">
        <f>IF('Comptage Décadaire'!Z105&lt;&gt;"",VLOOKUP('Comptage Décadaire'!Z105,Nomenclature!$F$2:$G$7,2,FALSE),"")</f>
        <v/>
      </c>
      <c r="Z104" s="30" t="str">
        <f>IF('Comptage Décadaire'!AA105&lt;&gt;"",VLOOKUP('Comptage Décadaire'!AA105,Nomenclature!$H$2:$I$31,2,FALSE),"")</f>
        <v/>
      </c>
      <c r="AA104" s="30" t="str">
        <f>IF('Comptage Décadaire'!AB105&lt;&gt;"",VLOOKUP('Comptage Décadaire'!AB105,Nomenclature!$J$2:$K$21,2,FALSE),"")</f>
        <v/>
      </c>
      <c r="AB104" s="30" t="str">
        <f>IF('Comptage Décadaire'!AC105&lt;&gt;"",VLOOKUP('Comptage Décadaire'!AC105,'Comptage Décadaire'!AC:AC,1,FALSE),"")</f>
        <v/>
      </c>
      <c r="AC104" s="32" t="str">
        <f>IF('Comptage Décadaire'!AD105&lt;&gt;"",VLOOKUP('Comptage Décadaire'!AD105,Nomenclature!$L$2:$M$8,2,FALSE),"")</f>
        <v/>
      </c>
      <c r="AD104" s="32" t="str">
        <f>IF('Comptage Décadaire'!AE105&lt;&gt;"",VLOOKUP('Comptage Décadaire'!AE105,Utilisateurs!$D$2:$F$81,3,FALSE),"")</f>
        <v/>
      </c>
      <c r="AE104" s="35" t="str">
        <f>IF('Comptage Décadaire'!AF105&lt;&gt;"",VLOOKUP('Comptage Décadaire'!AF105,'Comptage Décadaire'!AF:AF,1,FALSE),"")</f>
        <v/>
      </c>
      <c r="AF104" s="32" t="str">
        <f>IF('Comptage Décadaire'!AG105&lt;&gt;"",VLOOKUP('Comptage Décadaire'!AG105,'Comptage Décadaire'!AG:AG,1,FALSE),"")</f>
        <v/>
      </c>
    </row>
    <row r="105" spans="1:32" x14ac:dyDescent="0.25">
      <c r="A105" s="25" t="str">
        <f>IF('Comptage Décadaire'!A106&lt;&gt;"",VLOOKUP('Comptage Décadaire'!A106,'Comptage Décadaire'!A:A,1,FALSE),"")</f>
        <v/>
      </c>
      <c r="B105" s="27" t="str">
        <f>IF('Comptage Décadaire'!B106&lt;&gt;"",VLOOKUP('Comptage Décadaire'!B106,'Comptage Décadaire'!B:B,1,FALSE),"")</f>
        <v/>
      </c>
      <c r="C105" s="28" t="str">
        <f>IF('Comptage Décadaire'!C106&lt;&gt;"",VLOOKUP('Comptage Décadaire'!C106,'Comptage Décadaire'!C:C,1,FALSE),"")</f>
        <v/>
      </c>
      <c r="D105" s="29" t="str">
        <f>IF('Comptage Décadaire'!D106&lt;&gt;"",VLOOKUP('Comptage Décadaire'!D106,Sites!$A:$B,2,FALSE),"")</f>
        <v/>
      </c>
      <c r="E105" s="29" t="str">
        <f>IF('Comptage Décadaire'!E106&lt;&gt;"",VLOOKUP('Comptage Décadaire'!E106,'Comptage Décadaire'!E:E,1,FALSE),"")</f>
        <v/>
      </c>
      <c r="F105" s="29" t="str">
        <f>IF('Comptage Décadaire'!F106&lt;&gt;"",VLOOKUP('Comptage Décadaire'!F106,Nomenclature!$B$2:$C$4,2,FALSE),"")</f>
        <v/>
      </c>
      <c r="G105" s="29" t="str">
        <f>IF('Comptage Décadaire'!G106&lt;&gt;"",VLOOKUP('Comptage Décadaire'!G106,'Comptage Décadaire'!G:G,1,FALSE),"")</f>
        <v/>
      </c>
      <c r="H105" s="29" t="str">
        <f>IF('Comptage Décadaire'!H106&lt;&gt;"",VLOOKUP('Comptage Décadaire'!H106,Nomenclature!$D$2:$E$7,2,FALSE),"")</f>
        <v/>
      </c>
      <c r="I105" s="30" t="str">
        <f>IF('Comptage Décadaire'!J106&lt;&gt;"",VLOOKUP('Comptage Décadaire'!J106,'Comptage Décadaire'!J:J,1,FALSE),"")</f>
        <v/>
      </c>
      <c r="J105" s="30" t="str">
        <f>IF('Comptage Décadaire'!K106&lt;&gt;"",VLOOKUP('Comptage Décadaire'!K106,'Comptage Décadaire'!K:K,1,FALSE),"")</f>
        <v/>
      </c>
      <c r="K105" s="30" t="str">
        <f>IF('Comptage Décadaire'!L106&lt;&gt;"",VLOOKUP('Comptage Décadaire'!L106,'Comptage Décadaire'!L:L,1,FALSE),"")</f>
        <v/>
      </c>
      <c r="L105" s="31" t="str">
        <f>IF('Comptage Décadaire'!M106&lt;&gt;"",VLOOKUP('Comptage Décadaire'!M106,'Comptage Décadaire'!M:M,1,FALSE),"")</f>
        <v/>
      </c>
      <c r="M105" s="33" t="str">
        <f>IF('Comptage Décadaire'!N106&lt;&gt;"",VLOOKUP('Comptage Décadaire'!N106,Utilisateurs!$D:$F,3,FALSE),"")</f>
        <v/>
      </c>
      <c r="N105" s="33" t="str">
        <f>IF('Comptage Décadaire'!O106&lt;&gt;"",VLOOKUP('Comptage Décadaire'!O106,Utilisateurs!$D:$F,3,FALSE),"")</f>
        <v/>
      </c>
      <c r="O105" s="33" t="str">
        <f>IF('Comptage Décadaire'!P106&lt;&gt;"",VLOOKUP('Comptage Décadaire'!P106,Utilisateurs!$D:$F,3,FALSE),"")</f>
        <v/>
      </c>
      <c r="P105" s="33" t="str">
        <f>IF('Comptage Décadaire'!Q106&lt;&gt;"",VLOOKUP('Comptage Décadaire'!Q106,Utilisateurs!$D:$F,3,FALSE),"")</f>
        <v/>
      </c>
      <c r="Q105" s="33" t="str">
        <f>IF('Comptage Décadaire'!R106&lt;&gt;"",VLOOKUP('Comptage Décadaire'!R106,Utilisateurs!$D:$F,3,FALSE),"")</f>
        <v/>
      </c>
      <c r="R105" s="30" t="str">
        <f>IF('Comptage Décadaire'!S106&lt;&gt;"",VLOOKUP('Comptage Décadaire'!S106,Nomenclature!$N:$O,2,FALSE),"")</f>
        <v/>
      </c>
      <c r="S105" s="30" t="str">
        <f>IF('Comptage Décadaire'!T106&lt;&gt;"",VLOOKUP('Comptage Décadaire'!T106,'Comptage Décadaire'!T:T,1,FALSE),"")</f>
        <v/>
      </c>
      <c r="T105" s="30" t="str">
        <f>IF('Comptage Décadaire'!U106&lt;&gt;"",VLOOKUP('Comptage Décadaire'!U106,'Comptage Décadaire'!U:U,1,FALSE),"")</f>
        <v/>
      </c>
      <c r="U105" s="30" t="str">
        <f>IF('Comptage Décadaire'!V106&lt;&gt;"",VLOOKUP('Comptage Décadaire'!V106,'Comptage Décadaire'!V:V,1,FALSE),"")</f>
        <v/>
      </c>
      <c r="V105" s="30" t="str">
        <f>IF('Comptage Décadaire'!W106&lt;&gt;"",VLOOKUP('Comptage Décadaire'!W106,'Comptage Décadaire'!W:W,1,FALSE),"")</f>
        <v/>
      </c>
      <c r="W105" s="30" t="str">
        <f>IF('Comptage Décadaire'!X106&lt;&gt;"",VLOOKUP('Comptage Décadaire'!X106,'Comptage Décadaire'!X:X,1,FALSE),"")</f>
        <v/>
      </c>
      <c r="X105" s="30" t="str">
        <f>IF('Comptage Décadaire'!Y106&lt;&gt;"",VLOOKUP('Comptage Décadaire'!Y106,'Comptage Décadaire'!Y:Y,1,FALSE),"")</f>
        <v/>
      </c>
      <c r="Y105" s="30" t="str">
        <f>IF('Comptage Décadaire'!Z106&lt;&gt;"",VLOOKUP('Comptage Décadaire'!Z106,Nomenclature!$F$2:$G$7,2,FALSE),"")</f>
        <v/>
      </c>
      <c r="Z105" s="30" t="str">
        <f>IF('Comptage Décadaire'!AA106&lt;&gt;"",VLOOKUP('Comptage Décadaire'!AA106,Nomenclature!$H$2:$I$31,2,FALSE),"")</f>
        <v/>
      </c>
      <c r="AA105" s="30" t="str">
        <f>IF('Comptage Décadaire'!AB106&lt;&gt;"",VLOOKUP('Comptage Décadaire'!AB106,Nomenclature!$J$2:$K$21,2,FALSE),"")</f>
        <v/>
      </c>
      <c r="AB105" s="30" t="str">
        <f>IF('Comptage Décadaire'!AC106&lt;&gt;"",VLOOKUP('Comptage Décadaire'!AC106,'Comptage Décadaire'!AC:AC,1,FALSE),"")</f>
        <v/>
      </c>
      <c r="AC105" s="32" t="str">
        <f>IF('Comptage Décadaire'!AD106&lt;&gt;"",VLOOKUP('Comptage Décadaire'!AD106,Nomenclature!$L$2:$M$8,2,FALSE),"")</f>
        <v/>
      </c>
      <c r="AD105" s="32" t="str">
        <f>IF('Comptage Décadaire'!AE106&lt;&gt;"",VLOOKUP('Comptage Décadaire'!AE106,Utilisateurs!$D$2:$F$81,3,FALSE),"")</f>
        <v/>
      </c>
      <c r="AE105" s="35" t="str">
        <f>IF('Comptage Décadaire'!AF106&lt;&gt;"",VLOOKUP('Comptage Décadaire'!AF106,'Comptage Décadaire'!AF:AF,1,FALSE),"")</f>
        <v/>
      </c>
      <c r="AF105" s="32" t="str">
        <f>IF('Comptage Décadaire'!AG106&lt;&gt;"",VLOOKUP('Comptage Décadaire'!AG106,'Comptage Décadaire'!AG:AG,1,FALSE),"")</f>
        <v/>
      </c>
    </row>
    <row r="106" spans="1:32" x14ac:dyDescent="0.25">
      <c r="A106" s="25" t="str">
        <f>IF('Comptage Décadaire'!A107&lt;&gt;"",VLOOKUP('Comptage Décadaire'!A107,'Comptage Décadaire'!A:A,1,FALSE),"")</f>
        <v/>
      </c>
      <c r="B106" s="27" t="str">
        <f>IF('Comptage Décadaire'!B107&lt;&gt;"",VLOOKUP('Comptage Décadaire'!B107,'Comptage Décadaire'!B:B,1,FALSE),"")</f>
        <v/>
      </c>
      <c r="C106" s="28" t="str">
        <f>IF('Comptage Décadaire'!C107&lt;&gt;"",VLOOKUP('Comptage Décadaire'!C107,'Comptage Décadaire'!C:C,1,FALSE),"")</f>
        <v/>
      </c>
      <c r="D106" s="29" t="str">
        <f>IF('Comptage Décadaire'!D107&lt;&gt;"",VLOOKUP('Comptage Décadaire'!D107,Sites!$A:$B,2,FALSE),"")</f>
        <v/>
      </c>
      <c r="E106" s="29" t="str">
        <f>IF('Comptage Décadaire'!E107&lt;&gt;"",VLOOKUP('Comptage Décadaire'!E107,'Comptage Décadaire'!E:E,1,FALSE),"")</f>
        <v/>
      </c>
      <c r="F106" s="29" t="str">
        <f>IF('Comptage Décadaire'!F107&lt;&gt;"",VLOOKUP('Comptage Décadaire'!F107,Nomenclature!$B$2:$C$4,2,FALSE),"")</f>
        <v/>
      </c>
      <c r="G106" s="29" t="str">
        <f>IF('Comptage Décadaire'!G107&lt;&gt;"",VLOOKUP('Comptage Décadaire'!G107,'Comptage Décadaire'!G:G,1,FALSE),"")</f>
        <v/>
      </c>
      <c r="H106" s="29" t="str">
        <f>IF('Comptage Décadaire'!H107&lt;&gt;"",VLOOKUP('Comptage Décadaire'!H107,Nomenclature!$D$2:$E$7,2,FALSE),"")</f>
        <v/>
      </c>
      <c r="I106" s="30" t="str">
        <f>IF('Comptage Décadaire'!J107&lt;&gt;"",VLOOKUP('Comptage Décadaire'!J107,'Comptage Décadaire'!J:J,1,FALSE),"")</f>
        <v/>
      </c>
      <c r="J106" s="30" t="str">
        <f>IF('Comptage Décadaire'!K107&lt;&gt;"",VLOOKUP('Comptage Décadaire'!K107,'Comptage Décadaire'!K:K,1,FALSE),"")</f>
        <v/>
      </c>
      <c r="K106" s="30" t="str">
        <f>IF('Comptage Décadaire'!L107&lt;&gt;"",VLOOKUP('Comptage Décadaire'!L107,'Comptage Décadaire'!L:L,1,FALSE),"")</f>
        <v/>
      </c>
      <c r="L106" s="31" t="str">
        <f>IF('Comptage Décadaire'!M107&lt;&gt;"",VLOOKUP('Comptage Décadaire'!M107,'Comptage Décadaire'!M:M,1,FALSE),"")</f>
        <v/>
      </c>
      <c r="M106" s="33" t="str">
        <f>IF('Comptage Décadaire'!N107&lt;&gt;"",VLOOKUP('Comptage Décadaire'!N107,Utilisateurs!$D:$F,3,FALSE),"")</f>
        <v/>
      </c>
      <c r="N106" s="33" t="str">
        <f>IF('Comptage Décadaire'!O107&lt;&gt;"",VLOOKUP('Comptage Décadaire'!O107,Utilisateurs!$D:$F,3,FALSE),"")</f>
        <v/>
      </c>
      <c r="O106" s="33" t="str">
        <f>IF('Comptage Décadaire'!P107&lt;&gt;"",VLOOKUP('Comptage Décadaire'!P107,Utilisateurs!$D:$F,3,FALSE),"")</f>
        <v/>
      </c>
      <c r="P106" s="33" t="str">
        <f>IF('Comptage Décadaire'!Q107&lt;&gt;"",VLOOKUP('Comptage Décadaire'!Q107,Utilisateurs!$D:$F,3,FALSE),"")</f>
        <v/>
      </c>
      <c r="Q106" s="33" t="str">
        <f>IF('Comptage Décadaire'!R107&lt;&gt;"",VLOOKUP('Comptage Décadaire'!R107,Utilisateurs!$D:$F,3,FALSE),"")</f>
        <v/>
      </c>
      <c r="R106" s="30" t="str">
        <f>IF('Comptage Décadaire'!S107&lt;&gt;"",VLOOKUP('Comptage Décadaire'!S107,Nomenclature!$N:$O,2,FALSE),"")</f>
        <v/>
      </c>
      <c r="S106" s="30" t="str">
        <f>IF('Comptage Décadaire'!T107&lt;&gt;"",VLOOKUP('Comptage Décadaire'!T107,'Comptage Décadaire'!T:T,1,FALSE),"")</f>
        <v/>
      </c>
      <c r="T106" s="30" t="str">
        <f>IF('Comptage Décadaire'!U107&lt;&gt;"",VLOOKUP('Comptage Décadaire'!U107,'Comptage Décadaire'!U:U,1,FALSE),"")</f>
        <v/>
      </c>
      <c r="U106" s="30" t="str">
        <f>IF('Comptage Décadaire'!V107&lt;&gt;"",VLOOKUP('Comptage Décadaire'!V107,'Comptage Décadaire'!V:V,1,FALSE),"")</f>
        <v/>
      </c>
      <c r="V106" s="30" t="str">
        <f>IF('Comptage Décadaire'!W107&lt;&gt;"",VLOOKUP('Comptage Décadaire'!W107,'Comptage Décadaire'!W:W,1,FALSE),"")</f>
        <v/>
      </c>
      <c r="W106" s="30" t="str">
        <f>IF('Comptage Décadaire'!X107&lt;&gt;"",VLOOKUP('Comptage Décadaire'!X107,'Comptage Décadaire'!X:X,1,FALSE),"")</f>
        <v/>
      </c>
      <c r="X106" s="30" t="str">
        <f>IF('Comptage Décadaire'!Y107&lt;&gt;"",VLOOKUP('Comptage Décadaire'!Y107,'Comptage Décadaire'!Y:Y,1,FALSE),"")</f>
        <v/>
      </c>
      <c r="Y106" s="30" t="str">
        <f>IF('Comptage Décadaire'!Z107&lt;&gt;"",VLOOKUP('Comptage Décadaire'!Z107,Nomenclature!$F$2:$G$7,2,FALSE),"")</f>
        <v/>
      </c>
      <c r="Z106" s="30" t="str">
        <f>IF('Comptage Décadaire'!AA107&lt;&gt;"",VLOOKUP('Comptage Décadaire'!AA107,Nomenclature!$H$2:$I$31,2,FALSE),"")</f>
        <v/>
      </c>
      <c r="AA106" s="30" t="str">
        <f>IF('Comptage Décadaire'!AB107&lt;&gt;"",VLOOKUP('Comptage Décadaire'!AB107,Nomenclature!$J$2:$K$21,2,FALSE),"")</f>
        <v/>
      </c>
      <c r="AB106" s="30" t="str">
        <f>IF('Comptage Décadaire'!AC107&lt;&gt;"",VLOOKUP('Comptage Décadaire'!AC107,'Comptage Décadaire'!AC:AC,1,FALSE),"")</f>
        <v/>
      </c>
      <c r="AC106" s="32" t="str">
        <f>IF('Comptage Décadaire'!AD107&lt;&gt;"",VLOOKUP('Comptage Décadaire'!AD107,Nomenclature!$L$2:$M$8,2,FALSE),"")</f>
        <v/>
      </c>
      <c r="AD106" s="32" t="str">
        <f>IF('Comptage Décadaire'!AE107&lt;&gt;"",VLOOKUP('Comptage Décadaire'!AE107,Utilisateurs!$D$2:$F$81,3,FALSE),"")</f>
        <v/>
      </c>
      <c r="AE106" s="35" t="str">
        <f>IF('Comptage Décadaire'!AF107&lt;&gt;"",VLOOKUP('Comptage Décadaire'!AF107,'Comptage Décadaire'!AF:AF,1,FALSE),"")</f>
        <v/>
      </c>
      <c r="AF106" s="32" t="str">
        <f>IF('Comptage Décadaire'!AG107&lt;&gt;"",VLOOKUP('Comptage Décadaire'!AG107,'Comptage Décadaire'!AG:AG,1,FALSE),"")</f>
        <v/>
      </c>
    </row>
    <row r="107" spans="1:32" x14ac:dyDescent="0.25">
      <c r="A107" s="25" t="str">
        <f>IF('Comptage Décadaire'!A108&lt;&gt;"",VLOOKUP('Comptage Décadaire'!A108,'Comptage Décadaire'!A:A,1,FALSE),"")</f>
        <v/>
      </c>
      <c r="B107" s="27" t="str">
        <f>IF('Comptage Décadaire'!B108&lt;&gt;"",VLOOKUP('Comptage Décadaire'!B108,'Comptage Décadaire'!B:B,1,FALSE),"")</f>
        <v/>
      </c>
      <c r="C107" s="28" t="str">
        <f>IF('Comptage Décadaire'!C108&lt;&gt;"",VLOOKUP('Comptage Décadaire'!C108,'Comptage Décadaire'!C:C,1,FALSE),"")</f>
        <v/>
      </c>
      <c r="D107" s="29" t="str">
        <f>IF('Comptage Décadaire'!D108&lt;&gt;"",VLOOKUP('Comptage Décadaire'!D108,Sites!$A:$B,2,FALSE),"")</f>
        <v/>
      </c>
      <c r="E107" s="29" t="str">
        <f>IF('Comptage Décadaire'!E108&lt;&gt;"",VLOOKUP('Comptage Décadaire'!E108,'Comptage Décadaire'!E:E,1,FALSE),"")</f>
        <v/>
      </c>
      <c r="F107" s="29" t="str">
        <f>IF('Comptage Décadaire'!F108&lt;&gt;"",VLOOKUP('Comptage Décadaire'!F108,Nomenclature!$B$2:$C$4,2,FALSE),"")</f>
        <v/>
      </c>
      <c r="G107" s="29" t="str">
        <f>IF('Comptage Décadaire'!G108&lt;&gt;"",VLOOKUP('Comptage Décadaire'!G108,'Comptage Décadaire'!G:G,1,FALSE),"")</f>
        <v/>
      </c>
      <c r="H107" s="29" t="str">
        <f>IF('Comptage Décadaire'!H108&lt;&gt;"",VLOOKUP('Comptage Décadaire'!H108,Nomenclature!$D$2:$E$7,2,FALSE),"")</f>
        <v/>
      </c>
      <c r="I107" s="30" t="str">
        <f>IF('Comptage Décadaire'!J108&lt;&gt;"",VLOOKUP('Comptage Décadaire'!J108,'Comptage Décadaire'!J:J,1,FALSE),"")</f>
        <v/>
      </c>
      <c r="J107" s="30" t="str">
        <f>IF('Comptage Décadaire'!K108&lt;&gt;"",VLOOKUP('Comptage Décadaire'!K108,'Comptage Décadaire'!K:K,1,FALSE),"")</f>
        <v/>
      </c>
      <c r="K107" s="30" t="str">
        <f>IF('Comptage Décadaire'!L108&lt;&gt;"",VLOOKUP('Comptage Décadaire'!L108,'Comptage Décadaire'!L:L,1,FALSE),"")</f>
        <v/>
      </c>
      <c r="L107" s="31" t="str">
        <f>IF('Comptage Décadaire'!M108&lt;&gt;"",VLOOKUP('Comptage Décadaire'!M108,'Comptage Décadaire'!M:M,1,FALSE),"")</f>
        <v/>
      </c>
      <c r="M107" s="33" t="str">
        <f>IF('Comptage Décadaire'!N108&lt;&gt;"",VLOOKUP('Comptage Décadaire'!N108,Utilisateurs!$D:$F,3,FALSE),"")</f>
        <v/>
      </c>
      <c r="N107" s="33" t="str">
        <f>IF('Comptage Décadaire'!O108&lt;&gt;"",VLOOKUP('Comptage Décadaire'!O108,Utilisateurs!$D:$F,3,FALSE),"")</f>
        <v/>
      </c>
      <c r="O107" s="33" t="str">
        <f>IF('Comptage Décadaire'!P108&lt;&gt;"",VLOOKUP('Comptage Décadaire'!P108,Utilisateurs!$D:$F,3,FALSE),"")</f>
        <v/>
      </c>
      <c r="P107" s="33" t="str">
        <f>IF('Comptage Décadaire'!Q108&lt;&gt;"",VLOOKUP('Comptage Décadaire'!Q108,Utilisateurs!$D:$F,3,FALSE),"")</f>
        <v/>
      </c>
      <c r="Q107" s="33" t="str">
        <f>IF('Comptage Décadaire'!R108&lt;&gt;"",VLOOKUP('Comptage Décadaire'!R108,Utilisateurs!$D:$F,3,FALSE),"")</f>
        <v/>
      </c>
      <c r="R107" s="30" t="str">
        <f>IF('Comptage Décadaire'!S108&lt;&gt;"",VLOOKUP('Comptage Décadaire'!S108,Nomenclature!$N:$O,2,FALSE),"")</f>
        <v/>
      </c>
      <c r="S107" s="30" t="str">
        <f>IF('Comptage Décadaire'!T108&lt;&gt;"",VLOOKUP('Comptage Décadaire'!T108,'Comptage Décadaire'!T:T,1,FALSE),"")</f>
        <v/>
      </c>
      <c r="T107" s="30" t="str">
        <f>IF('Comptage Décadaire'!U108&lt;&gt;"",VLOOKUP('Comptage Décadaire'!U108,'Comptage Décadaire'!U:U,1,FALSE),"")</f>
        <v/>
      </c>
      <c r="U107" s="30" t="str">
        <f>IF('Comptage Décadaire'!V108&lt;&gt;"",VLOOKUP('Comptage Décadaire'!V108,'Comptage Décadaire'!V:V,1,FALSE),"")</f>
        <v/>
      </c>
      <c r="V107" s="30" t="str">
        <f>IF('Comptage Décadaire'!W108&lt;&gt;"",VLOOKUP('Comptage Décadaire'!W108,'Comptage Décadaire'!W:W,1,FALSE),"")</f>
        <v/>
      </c>
      <c r="W107" s="30" t="str">
        <f>IF('Comptage Décadaire'!X108&lt;&gt;"",VLOOKUP('Comptage Décadaire'!X108,'Comptage Décadaire'!X:X,1,FALSE),"")</f>
        <v/>
      </c>
      <c r="X107" s="30" t="str">
        <f>IF('Comptage Décadaire'!Y108&lt;&gt;"",VLOOKUP('Comptage Décadaire'!Y108,'Comptage Décadaire'!Y:Y,1,FALSE),"")</f>
        <v/>
      </c>
      <c r="Y107" s="30" t="str">
        <f>IF('Comptage Décadaire'!Z108&lt;&gt;"",VLOOKUP('Comptage Décadaire'!Z108,Nomenclature!$F$2:$G$7,2,FALSE),"")</f>
        <v/>
      </c>
      <c r="Z107" s="30" t="str">
        <f>IF('Comptage Décadaire'!AA108&lt;&gt;"",VLOOKUP('Comptage Décadaire'!AA108,Nomenclature!$H$2:$I$31,2,FALSE),"")</f>
        <v/>
      </c>
      <c r="AA107" s="30" t="str">
        <f>IF('Comptage Décadaire'!AB108&lt;&gt;"",VLOOKUP('Comptage Décadaire'!AB108,Nomenclature!$J$2:$K$21,2,FALSE),"")</f>
        <v/>
      </c>
      <c r="AB107" s="30" t="str">
        <f>IF('Comptage Décadaire'!AC108&lt;&gt;"",VLOOKUP('Comptage Décadaire'!AC108,'Comptage Décadaire'!AC:AC,1,FALSE),"")</f>
        <v/>
      </c>
      <c r="AC107" s="32" t="str">
        <f>IF('Comptage Décadaire'!AD108&lt;&gt;"",VLOOKUP('Comptage Décadaire'!AD108,Nomenclature!$L$2:$M$8,2,FALSE),"")</f>
        <v/>
      </c>
      <c r="AD107" s="32" t="str">
        <f>IF('Comptage Décadaire'!AE108&lt;&gt;"",VLOOKUP('Comptage Décadaire'!AE108,Utilisateurs!$D$2:$F$81,3,FALSE),"")</f>
        <v/>
      </c>
      <c r="AE107" s="35" t="str">
        <f>IF('Comptage Décadaire'!AF108&lt;&gt;"",VLOOKUP('Comptage Décadaire'!AF108,'Comptage Décadaire'!AF:AF,1,FALSE),"")</f>
        <v/>
      </c>
      <c r="AF107" s="32" t="str">
        <f>IF('Comptage Décadaire'!AG108&lt;&gt;"",VLOOKUP('Comptage Décadaire'!AG108,'Comptage Décadaire'!AG:AG,1,FALSE),"")</f>
        <v/>
      </c>
    </row>
    <row r="108" spans="1:32" x14ac:dyDescent="0.25">
      <c r="A108" s="25" t="str">
        <f>IF('Comptage Décadaire'!A109&lt;&gt;"",VLOOKUP('Comptage Décadaire'!A109,'Comptage Décadaire'!A:A,1,FALSE),"")</f>
        <v/>
      </c>
      <c r="B108" s="27" t="str">
        <f>IF('Comptage Décadaire'!B109&lt;&gt;"",VLOOKUP('Comptage Décadaire'!B109,'Comptage Décadaire'!B:B,1,FALSE),"")</f>
        <v/>
      </c>
      <c r="C108" s="28" t="str">
        <f>IF('Comptage Décadaire'!C109&lt;&gt;"",VLOOKUP('Comptage Décadaire'!C109,'Comptage Décadaire'!C:C,1,FALSE),"")</f>
        <v/>
      </c>
      <c r="D108" s="29" t="str">
        <f>IF('Comptage Décadaire'!D109&lt;&gt;"",VLOOKUP('Comptage Décadaire'!D109,Sites!$A:$B,2,FALSE),"")</f>
        <v/>
      </c>
      <c r="E108" s="29" t="str">
        <f>IF('Comptage Décadaire'!E109&lt;&gt;"",VLOOKUP('Comptage Décadaire'!E109,'Comptage Décadaire'!E:E,1,FALSE),"")</f>
        <v/>
      </c>
      <c r="F108" s="29" t="str">
        <f>IF('Comptage Décadaire'!F109&lt;&gt;"",VLOOKUP('Comptage Décadaire'!F109,Nomenclature!$B$2:$C$4,2,FALSE),"")</f>
        <v/>
      </c>
      <c r="G108" s="29" t="str">
        <f>IF('Comptage Décadaire'!G109&lt;&gt;"",VLOOKUP('Comptage Décadaire'!G109,'Comptage Décadaire'!G:G,1,FALSE),"")</f>
        <v/>
      </c>
      <c r="H108" s="29" t="str">
        <f>IF('Comptage Décadaire'!H109&lt;&gt;"",VLOOKUP('Comptage Décadaire'!H109,Nomenclature!$D$2:$E$7,2,FALSE),"")</f>
        <v/>
      </c>
      <c r="I108" s="30" t="str">
        <f>IF('Comptage Décadaire'!J109&lt;&gt;"",VLOOKUP('Comptage Décadaire'!J109,'Comptage Décadaire'!J:J,1,FALSE),"")</f>
        <v/>
      </c>
      <c r="J108" s="30" t="str">
        <f>IF('Comptage Décadaire'!K109&lt;&gt;"",VLOOKUP('Comptage Décadaire'!K109,'Comptage Décadaire'!K:K,1,FALSE),"")</f>
        <v/>
      </c>
      <c r="K108" s="30" t="str">
        <f>IF('Comptage Décadaire'!L109&lt;&gt;"",VLOOKUP('Comptage Décadaire'!L109,'Comptage Décadaire'!L:L,1,FALSE),"")</f>
        <v/>
      </c>
      <c r="L108" s="31" t="str">
        <f>IF('Comptage Décadaire'!M109&lt;&gt;"",VLOOKUP('Comptage Décadaire'!M109,'Comptage Décadaire'!M:M,1,FALSE),"")</f>
        <v/>
      </c>
      <c r="M108" s="33" t="str">
        <f>IF('Comptage Décadaire'!N109&lt;&gt;"",VLOOKUP('Comptage Décadaire'!N109,Utilisateurs!$D:$F,3,FALSE),"")</f>
        <v/>
      </c>
      <c r="N108" s="33" t="str">
        <f>IF('Comptage Décadaire'!O109&lt;&gt;"",VLOOKUP('Comptage Décadaire'!O109,Utilisateurs!$D:$F,3,FALSE),"")</f>
        <v/>
      </c>
      <c r="O108" s="33" t="str">
        <f>IF('Comptage Décadaire'!P109&lt;&gt;"",VLOOKUP('Comptage Décadaire'!P109,Utilisateurs!$D:$F,3,FALSE),"")</f>
        <v/>
      </c>
      <c r="P108" s="33" t="str">
        <f>IF('Comptage Décadaire'!Q109&lt;&gt;"",VLOOKUP('Comptage Décadaire'!Q109,Utilisateurs!$D:$F,3,FALSE),"")</f>
        <v/>
      </c>
      <c r="Q108" s="33" t="str">
        <f>IF('Comptage Décadaire'!R109&lt;&gt;"",VLOOKUP('Comptage Décadaire'!R109,Utilisateurs!$D:$F,3,FALSE),"")</f>
        <v/>
      </c>
      <c r="R108" s="30" t="str">
        <f>IF('Comptage Décadaire'!S109&lt;&gt;"",VLOOKUP('Comptage Décadaire'!S109,Nomenclature!$N:$O,2,FALSE),"")</f>
        <v/>
      </c>
      <c r="S108" s="30" t="str">
        <f>IF('Comptage Décadaire'!T109&lt;&gt;"",VLOOKUP('Comptage Décadaire'!T109,'Comptage Décadaire'!T:T,1,FALSE),"")</f>
        <v/>
      </c>
      <c r="T108" s="30" t="str">
        <f>IF('Comptage Décadaire'!U109&lt;&gt;"",VLOOKUP('Comptage Décadaire'!U109,'Comptage Décadaire'!U:U,1,FALSE),"")</f>
        <v/>
      </c>
      <c r="U108" s="30" t="str">
        <f>IF('Comptage Décadaire'!V109&lt;&gt;"",VLOOKUP('Comptage Décadaire'!V109,'Comptage Décadaire'!V:V,1,FALSE),"")</f>
        <v/>
      </c>
      <c r="V108" s="30" t="str">
        <f>IF('Comptage Décadaire'!W109&lt;&gt;"",VLOOKUP('Comptage Décadaire'!W109,'Comptage Décadaire'!W:W,1,FALSE),"")</f>
        <v/>
      </c>
      <c r="W108" s="30" t="str">
        <f>IF('Comptage Décadaire'!X109&lt;&gt;"",VLOOKUP('Comptage Décadaire'!X109,'Comptage Décadaire'!X:X,1,FALSE),"")</f>
        <v/>
      </c>
      <c r="X108" s="30" t="str">
        <f>IF('Comptage Décadaire'!Y109&lt;&gt;"",VLOOKUP('Comptage Décadaire'!Y109,'Comptage Décadaire'!Y:Y,1,FALSE),"")</f>
        <v/>
      </c>
      <c r="Y108" s="30" t="str">
        <f>IF('Comptage Décadaire'!Z109&lt;&gt;"",VLOOKUP('Comptage Décadaire'!Z109,Nomenclature!$F$2:$G$7,2,FALSE),"")</f>
        <v/>
      </c>
      <c r="Z108" s="30" t="str">
        <f>IF('Comptage Décadaire'!AA109&lt;&gt;"",VLOOKUP('Comptage Décadaire'!AA109,Nomenclature!$H$2:$I$31,2,FALSE),"")</f>
        <v/>
      </c>
      <c r="AA108" s="30" t="str">
        <f>IF('Comptage Décadaire'!AB109&lt;&gt;"",VLOOKUP('Comptage Décadaire'!AB109,Nomenclature!$J$2:$K$21,2,FALSE),"")</f>
        <v/>
      </c>
      <c r="AB108" s="30" t="str">
        <f>IF('Comptage Décadaire'!AC109&lt;&gt;"",VLOOKUP('Comptage Décadaire'!AC109,'Comptage Décadaire'!AC:AC,1,FALSE),"")</f>
        <v/>
      </c>
      <c r="AC108" s="32" t="str">
        <f>IF('Comptage Décadaire'!AD109&lt;&gt;"",VLOOKUP('Comptage Décadaire'!AD109,Nomenclature!$L$2:$M$8,2,FALSE),"")</f>
        <v/>
      </c>
      <c r="AD108" s="32" t="str">
        <f>IF('Comptage Décadaire'!AE109&lt;&gt;"",VLOOKUP('Comptage Décadaire'!AE109,Utilisateurs!$D$2:$F$81,3,FALSE),"")</f>
        <v/>
      </c>
      <c r="AE108" s="35" t="str">
        <f>IF('Comptage Décadaire'!AF109&lt;&gt;"",VLOOKUP('Comptage Décadaire'!AF109,'Comptage Décadaire'!AF:AF,1,FALSE),"")</f>
        <v/>
      </c>
      <c r="AF108" s="32" t="str">
        <f>IF('Comptage Décadaire'!AG109&lt;&gt;"",VLOOKUP('Comptage Décadaire'!AG109,'Comptage Décadaire'!AG:AG,1,FALSE),"")</f>
        <v/>
      </c>
    </row>
    <row r="109" spans="1:32" x14ac:dyDescent="0.25">
      <c r="A109" s="25" t="str">
        <f>IF('Comptage Décadaire'!A110&lt;&gt;"",VLOOKUP('Comptage Décadaire'!A110,'Comptage Décadaire'!A:A,1,FALSE),"")</f>
        <v/>
      </c>
      <c r="B109" s="27" t="str">
        <f>IF('Comptage Décadaire'!B110&lt;&gt;"",VLOOKUP('Comptage Décadaire'!B110,'Comptage Décadaire'!B:B,1,FALSE),"")</f>
        <v/>
      </c>
      <c r="C109" s="28" t="str">
        <f>IF('Comptage Décadaire'!C110&lt;&gt;"",VLOOKUP('Comptage Décadaire'!C110,'Comptage Décadaire'!C:C,1,FALSE),"")</f>
        <v/>
      </c>
      <c r="D109" s="29" t="str">
        <f>IF('Comptage Décadaire'!D110&lt;&gt;"",VLOOKUP('Comptage Décadaire'!D110,Sites!$A:$B,2,FALSE),"")</f>
        <v/>
      </c>
      <c r="E109" s="29" t="str">
        <f>IF('Comptage Décadaire'!E110&lt;&gt;"",VLOOKUP('Comptage Décadaire'!E110,'Comptage Décadaire'!E:E,1,FALSE),"")</f>
        <v/>
      </c>
      <c r="F109" s="29" t="str">
        <f>IF('Comptage Décadaire'!F110&lt;&gt;"",VLOOKUP('Comptage Décadaire'!F110,Nomenclature!$B$2:$C$4,2,FALSE),"")</f>
        <v/>
      </c>
      <c r="G109" s="29" t="str">
        <f>IF('Comptage Décadaire'!G110&lt;&gt;"",VLOOKUP('Comptage Décadaire'!G110,'Comptage Décadaire'!G:G,1,FALSE),"")</f>
        <v/>
      </c>
      <c r="H109" s="29" t="str">
        <f>IF('Comptage Décadaire'!H110&lt;&gt;"",VLOOKUP('Comptage Décadaire'!H110,Nomenclature!$D$2:$E$7,2,FALSE),"")</f>
        <v/>
      </c>
      <c r="I109" s="30" t="str">
        <f>IF('Comptage Décadaire'!J110&lt;&gt;"",VLOOKUP('Comptage Décadaire'!J110,'Comptage Décadaire'!J:J,1,FALSE),"")</f>
        <v/>
      </c>
      <c r="J109" s="30" t="str">
        <f>IF('Comptage Décadaire'!K110&lt;&gt;"",VLOOKUP('Comptage Décadaire'!K110,'Comptage Décadaire'!K:K,1,FALSE),"")</f>
        <v/>
      </c>
      <c r="K109" s="30" t="str">
        <f>IF('Comptage Décadaire'!L110&lt;&gt;"",VLOOKUP('Comptage Décadaire'!L110,'Comptage Décadaire'!L:L,1,FALSE),"")</f>
        <v/>
      </c>
      <c r="L109" s="31" t="str">
        <f>IF('Comptage Décadaire'!M110&lt;&gt;"",VLOOKUP('Comptage Décadaire'!M110,'Comptage Décadaire'!M:M,1,FALSE),"")</f>
        <v/>
      </c>
      <c r="M109" s="33" t="str">
        <f>IF('Comptage Décadaire'!N110&lt;&gt;"",VLOOKUP('Comptage Décadaire'!N110,Utilisateurs!$D:$F,3,FALSE),"")</f>
        <v/>
      </c>
      <c r="N109" s="33" t="str">
        <f>IF('Comptage Décadaire'!O110&lt;&gt;"",VLOOKUP('Comptage Décadaire'!O110,Utilisateurs!$D:$F,3,FALSE),"")</f>
        <v/>
      </c>
      <c r="O109" s="33" t="str">
        <f>IF('Comptage Décadaire'!P110&lt;&gt;"",VLOOKUP('Comptage Décadaire'!P110,Utilisateurs!$D:$F,3,FALSE),"")</f>
        <v/>
      </c>
      <c r="P109" s="33" t="str">
        <f>IF('Comptage Décadaire'!Q110&lt;&gt;"",VLOOKUP('Comptage Décadaire'!Q110,Utilisateurs!$D:$F,3,FALSE),"")</f>
        <v/>
      </c>
      <c r="Q109" s="33" t="str">
        <f>IF('Comptage Décadaire'!R110&lt;&gt;"",VLOOKUP('Comptage Décadaire'!R110,Utilisateurs!$D:$F,3,FALSE),"")</f>
        <v/>
      </c>
      <c r="R109" s="30" t="str">
        <f>IF('Comptage Décadaire'!S110&lt;&gt;"",VLOOKUP('Comptage Décadaire'!S110,Nomenclature!$N:$O,2,FALSE),"")</f>
        <v/>
      </c>
      <c r="S109" s="30" t="str">
        <f>IF('Comptage Décadaire'!T110&lt;&gt;"",VLOOKUP('Comptage Décadaire'!T110,'Comptage Décadaire'!T:T,1,FALSE),"")</f>
        <v/>
      </c>
      <c r="T109" s="30" t="str">
        <f>IF('Comptage Décadaire'!U110&lt;&gt;"",VLOOKUP('Comptage Décadaire'!U110,'Comptage Décadaire'!U:U,1,FALSE),"")</f>
        <v/>
      </c>
      <c r="U109" s="30" t="str">
        <f>IF('Comptage Décadaire'!V110&lt;&gt;"",VLOOKUP('Comptage Décadaire'!V110,'Comptage Décadaire'!V:V,1,FALSE),"")</f>
        <v/>
      </c>
      <c r="V109" s="30" t="str">
        <f>IF('Comptage Décadaire'!W110&lt;&gt;"",VLOOKUP('Comptage Décadaire'!W110,'Comptage Décadaire'!W:W,1,FALSE),"")</f>
        <v/>
      </c>
      <c r="W109" s="30" t="str">
        <f>IF('Comptage Décadaire'!X110&lt;&gt;"",VLOOKUP('Comptage Décadaire'!X110,'Comptage Décadaire'!X:X,1,FALSE),"")</f>
        <v/>
      </c>
      <c r="X109" s="30" t="str">
        <f>IF('Comptage Décadaire'!Y110&lt;&gt;"",VLOOKUP('Comptage Décadaire'!Y110,'Comptage Décadaire'!Y:Y,1,FALSE),"")</f>
        <v/>
      </c>
      <c r="Y109" s="30" t="str">
        <f>IF('Comptage Décadaire'!Z110&lt;&gt;"",VLOOKUP('Comptage Décadaire'!Z110,Nomenclature!$F$2:$G$7,2,FALSE),"")</f>
        <v/>
      </c>
      <c r="Z109" s="30" t="str">
        <f>IF('Comptage Décadaire'!AA110&lt;&gt;"",VLOOKUP('Comptage Décadaire'!AA110,Nomenclature!$H$2:$I$31,2,FALSE),"")</f>
        <v/>
      </c>
      <c r="AA109" s="30" t="str">
        <f>IF('Comptage Décadaire'!AB110&lt;&gt;"",VLOOKUP('Comptage Décadaire'!AB110,Nomenclature!$J$2:$K$21,2,FALSE),"")</f>
        <v/>
      </c>
      <c r="AB109" s="30" t="str">
        <f>IF('Comptage Décadaire'!AC110&lt;&gt;"",VLOOKUP('Comptage Décadaire'!AC110,'Comptage Décadaire'!AC:AC,1,FALSE),"")</f>
        <v/>
      </c>
      <c r="AC109" s="32" t="str">
        <f>IF('Comptage Décadaire'!AD110&lt;&gt;"",VLOOKUP('Comptage Décadaire'!AD110,Nomenclature!$L$2:$M$8,2,FALSE),"")</f>
        <v/>
      </c>
      <c r="AD109" s="32" t="str">
        <f>IF('Comptage Décadaire'!AE110&lt;&gt;"",VLOOKUP('Comptage Décadaire'!AE110,Utilisateurs!$D$2:$F$81,3,FALSE),"")</f>
        <v/>
      </c>
      <c r="AE109" s="35" t="str">
        <f>IF('Comptage Décadaire'!AF110&lt;&gt;"",VLOOKUP('Comptage Décadaire'!AF110,'Comptage Décadaire'!AF:AF,1,FALSE),"")</f>
        <v/>
      </c>
      <c r="AF109" s="32" t="str">
        <f>IF('Comptage Décadaire'!AG110&lt;&gt;"",VLOOKUP('Comptage Décadaire'!AG110,'Comptage Décadaire'!AG:AG,1,FALSE),"")</f>
        <v/>
      </c>
    </row>
    <row r="110" spans="1:32" x14ac:dyDescent="0.25">
      <c r="A110" s="25" t="str">
        <f>IF('Comptage Décadaire'!A111&lt;&gt;"",VLOOKUP('Comptage Décadaire'!A111,'Comptage Décadaire'!A:A,1,FALSE),"")</f>
        <v/>
      </c>
      <c r="B110" s="27" t="str">
        <f>IF('Comptage Décadaire'!B111&lt;&gt;"",VLOOKUP('Comptage Décadaire'!B111,'Comptage Décadaire'!B:B,1,FALSE),"")</f>
        <v/>
      </c>
      <c r="C110" s="28" t="str">
        <f>IF('Comptage Décadaire'!C111&lt;&gt;"",VLOOKUP('Comptage Décadaire'!C111,'Comptage Décadaire'!C:C,1,FALSE),"")</f>
        <v/>
      </c>
      <c r="D110" s="29" t="str">
        <f>IF('Comptage Décadaire'!D111&lt;&gt;"",VLOOKUP('Comptage Décadaire'!D111,Sites!$A:$B,2,FALSE),"")</f>
        <v/>
      </c>
      <c r="E110" s="29" t="str">
        <f>IF('Comptage Décadaire'!E111&lt;&gt;"",VLOOKUP('Comptage Décadaire'!E111,'Comptage Décadaire'!E:E,1,FALSE),"")</f>
        <v/>
      </c>
      <c r="F110" s="29" t="str">
        <f>IF('Comptage Décadaire'!F111&lt;&gt;"",VLOOKUP('Comptage Décadaire'!F111,Nomenclature!$B$2:$C$4,2,FALSE),"")</f>
        <v/>
      </c>
      <c r="G110" s="29" t="str">
        <f>IF('Comptage Décadaire'!G111&lt;&gt;"",VLOOKUP('Comptage Décadaire'!G111,'Comptage Décadaire'!G:G,1,FALSE),"")</f>
        <v/>
      </c>
      <c r="H110" s="29" t="str">
        <f>IF('Comptage Décadaire'!H111&lt;&gt;"",VLOOKUP('Comptage Décadaire'!H111,Nomenclature!$D$2:$E$7,2,FALSE),"")</f>
        <v/>
      </c>
      <c r="I110" s="30" t="str">
        <f>IF('Comptage Décadaire'!J111&lt;&gt;"",VLOOKUP('Comptage Décadaire'!J111,'Comptage Décadaire'!J:J,1,FALSE),"")</f>
        <v/>
      </c>
      <c r="J110" s="30" t="str">
        <f>IF('Comptage Décadaire'!K111&lt;&gt;"",VLOOKUP('Comptage Décadaire'!K111,'Comptage Décadaire'!K:K,1,FALSE),"")</f>
        <v/>
      </c>
      <c r="K110" s="30" t="str">
        <f>IF('Comptage Décadaire'!L111&lt;&gt;"",VLOOKUP('Comptage Décadaire'!L111,'Comptage Décadaire'!L:L,1,FALSE),"")</f>
        <v/>
      </c>
      <c r="L110" s="31" t="str">
        <f>IF('Comptage Décadaire'!M111&lt;&gt;"",VLOOKUP('Comptage Décadaire'!M111,'Comptage Décadaire'!M:M,1,FALSE),"")</f>
        <v/>
      </c>
      <c r="M110" s="33" t="str">
        <f>IF('Comptage Décadaire'!N111&lt;&gt;"",VLOOKUP('Comptage Décadaire'!N111,Utilisateurs!$D:$F,3,FALSE),"")</f>
        <v/>
      </c>
      <c r="N110" s="33" t="str">
        <f>IF('Comptage Décadaire'!O111&lt;&gt;"",VLOOKUP('Comptage Décadaire'!O111,Utilisateurs!$D:$F,3,FALSE),"")</f>
        <v/>
      </c>
      <c r="O110" s="33" t="str">
        <f>IF('Comptage Décadaire'!P111&lt;&gt;"",VLOOKUP('Comptage Décadaire'!P111,Utilisateurs!$D:$F,3,FALSE),"")</f>
        <v/>
      </c>
      <c r="P110" s="33" t="str">
        <f>IF('Comptage Décadaire'!Q111&lt;&gt;"",VLOOKUP('Comptage Décadaire'!Q111,Utilisateurs!$D:$F,3,FALSE),"")</f>
        <v/>
      </c>
      <c r="Q110" s="33" t="str">
        <f>IF('Comptage Décadaire'!R111&lt;&gt;"",VLOOKUP('Comptage Décadaire'!R111,Utilisateurs!$D:$F,3,FALSE),"")</f>
        <v/>
      </c>
      <c r="R110" s="30" t="str">
        <f>IF('Comptage Décadaire'!S111&lt;&gt;"",VLOOKUP('Comptage Décadaire'!S111,Nomenclature!$N:$O,2,FALSE),"")</f>
        <v/>
      </c>
      <c r="S110" s="30" t="str">
        <f>IF('Comptage Décadaire'!T111&lt;&gt;"",VLOOKUP('Comptage Décadaire'!T111,'Comptage Décadaire'!T:T,1,FALSE),"")</f>
        <v/>
      </c>
      <c r="T110" s="30" t="str">
        <f>IF('Comptage Décadaire'!U111&lt;&gt;"",VLOOKUP('Comptage Décadaire'!U111,'Comptage Décadaire'!U:U,1,FALSE),"")</f>
        <v/>
      </c>
      <c r="U110" s="30" t="str">
        <f>IF('Comptage Décadaire'!V111&lt;&gt;"",VLOOKUP('Comptage Décadaire'!V111,'Comptage Décadaire'!V:V,1,FALSE),"")</f>
        <v/>
      </c>
      <c r="V110" s="30" t="str">
        <f>IF('Comptage Décadaire'!W111&lt;&gt;"",VLOOKUP('Comptage Décadaire'!W111,'Comptage Décadaire'!W:W,1,FALSE),"")</f>
        <v/>
      </c>
      <c r="W110" s="30" t="str">
        <f>IF('Comptage Décadaire'!X111&lt;&gt;"",VLOOKUP('Comptage Décadaire'!X111,'Comptage Décadaire'!X:X,1,FALSE),"")</f>
        <v/>
      </c>
      <c r="X110" s="30" t="str">
        <f>IF('Comptage Décadaire'!Y111&lt;&gt;"",VLOOKUP('Comptage Décadaire'!Y111,'Comptage Décadaire'!Y:Y,1,FALSE),"")</f>
        <v/>
      </c>
      <c r="Y110" s="30" t="str">
        <f>IF('Comptage Décadaire'!Z111&lt;&gt;"",VLOOKUP('Comptage Décadaire'!Z111,Nomenclature!$F$2:$G$7,2,FALSE),"")</f>
        <v/>
      </c>
      <c r="Z110" s="30" t="str">
        <f>IF('Comptage Décadaire'!AA111&lt;&gt;"",VLOOKUP('Comptage Décadaire'!AA111,Nomenclature!$H$2:$I$31,2,FALSE),"")</f>
        <v/>
      </c>
      <c r="AA110" s="30" t="str">
        <f>IF('Comptage Décadaire'!AB111&lt;&gt;"",VLOOKUP('Comptage Décadaire'!AB111,Nomenclature!$J$2:$K$21,2,FALSE),"")</f>
        <v/>
      </c>
      <c r="AB110" s="30" t="str">
        <f>IF('Comptage Décadaire'!AC111&lt;&gt;"",VLOOKUP('Comptage Décadaire'!AC111,'Comptage Décadaire'!AC:AC,1,FALSE),"")</f>
        <v/>
      </c>
      <c r="AC110" s="32" t="str">
        <f>IF('Comptage Décadaire'!AD111&lt;&gt;"",VLOOKUP('Comptage Décadaire'!AD111,Nomenclature!$L$2:$M$8,2,FALSE),"")</f>
        <v/>
      </c>
      <c r="AD110" s="32" t="str">
        <f>IF('Comptage Décadaire'!AE111&lt;&gt;"",VLOOKUP('Comptage Décadaire'!AE111,Utilisateurs!$D$2:$F$81,3,FALSE),"")</f>
        <v/>
      </c>
      <c r="AE110" s="35" t="str">
        <f>IF('Comptage Décadaire'!AF111&lt;&gt;"",VLOOKUP('Comptage Décadaire'!AF111,'Comptage Décadaire'!AF:AF,1,FALSE),"")</f>
        <v/>
      </c>
      <c r="AF110" s="32" t="str">
        <f>IF('Comptage Décadaire'!AG111&lt;&gt;"",VLOOKUP('Comptage Décadaire'!AG111,'Comptage Décadaire'!AG:AG,1,FALSE),"")</f>
        <v/>
      </c>
    </row>
    <row r="111" spans="1:32" x14ac:dyDescent="0.25">
      <c r="A111" s="25" t="str">
        <f>IF('Comptage Décadaire'!A112&lt;&gt;"",VLOOKUP('Comptage Décadaire'!A112,'Comptage Décadaire'!A:A,1,FALSE),"")</f>
        <v/>
      </c>
      <c r="B111" s="27" t="str">
        <f>IF('Comptage Décadaire'!B112&lt;&gt;"",VLOOKUP('Comptage Décadaire'!B112,'Comptage Décadaire'!B:B,1,FALSE),"")</f>
        <v/>
      </c>
      <c r="C111" s="28" t="str">
        <f>IF('Comptage Décadaire'!C112&lt;&gt;"",VLOOKUP('Comptage Décadaire'!C112,'Comptage Décadaire'!C:C,1,FALSE),"")</f>
        <v/>
      </c>
      <c r="D111" s="29" t="str">
        <f>IF('Comptage Décadaire'!D112&lt;&gt;"",VLOOKUP('Comptage Décadaire'!D112,Sites!$A:$B,2,FALSE),"")</f>
        <v/>
      </c>
      <c r="E111" s="29" t="str">
        <f>IF('Comptage Décadaire'!E112&lt;&gt;"",VLOOKUP('Comptage Décadaire'!E112,'Comptage Décadaire'!E:E,1,FALSE),"")</f>
        <v/>
      </c>
      <c r="F111" s="29" t="str">
        <f>IF('Comptage Décadaire'!F112&lt;&gt;"",VLOOKUP('Comptage Décadaire'!F112,Nomenclature!$B$2:$C$4,2,FALSE),"")</f>
        <v/>
      </c>
      <c r="G111" s="29" t="str">
        <f>IF('Comptage Décadaire'!G112&lt;&gt;"",VLOOKUP('Comptage Décadaire'!G112,'Comptage Décadaire'!G:G,1,FALSE),"")</f>
        <v/>
      </c>
      <c r="H111" s="29" t="str">
        <f>IF('Comptage Décadaire'!H112&lt;&gt;"",VLOOKUP('Comptage Décadaire'!H112,Nomenclature!$D$2:$E$7,2,FALSE),"")</f>
        <v/>
      </c>
      <c r="I111" s="30" t="str">
        <f>IF('Comptage Décadaire'!J112&lt;&gt;"",VLOOKUP('Comptage Décadaire'!J112,'Comptage Décadaire'!J:J,1,FALSE),"")</f>
        <v/>
      </c>
      <c r="J111" s="30" t="str">
        <f>IF('Comptage Décadaire'!K112&lt;&gt;"",VLOOKUP('Comptage Décadaire'!K112,'Comptage Décadaire'!K:K,1,FALSE),"")</f>
        <v/>
      </c>
      <c r="K111" s="30" t="str">
        <f>IF('Comptage Décadaire'!L112&lt;&gt;"",VLOOKUP('Comptage Décadaire'!L112,'Comptage Décadaire'!L:L,1,FALSE),"")</f>
        <v/>
      </c>
      <c r="L111" s="31" t="str">
        <f>IF('Comptage Décadaire'!M112&lt;&gt;"",VLOOKUP('Comptage Décadaire'!M112,'Comptage Décadaire'!M:M,1,FALSE),"")</f>
        <v/>
      </c>
      <c r="M111" s="33" t="str">
        <f>IF('Comptage Décadaire'!N112&lt;&gt;"",VLOOKUP('Comptage Décadaire'!N112,Utilisateurs!$D:$F,3,FALSE),"")</f>
        <v/>
      </c>
      <c r="N111" s="33" t="str">
        <f>IF('Comptage Décadaire'!O112&lt;&gt;"",VLOOKUP('Comptage Décadaire'!O112,Utilisateurs!$D:$F,3,FALSE),"")</f>
        <v/>
      </c>
      <c r="O111" s="33" t="str">
        <f>IF('Comptage Décadaire'!P112&lt;&gt;"",VLOOKUP('Comptage Décadaire'!P112,Utilisateurs!$D:$F,3,FALSE),"")</f>
        <v/>
      </c>
      <c r="P111" s="33" t="str">
        <f>IF('Comptage Décadaire'!Q112&lt;&gt;"",VLOOKUP('Comptage Décadaire'!Q112,Utilisateurs!$D:$F,3,FALSE),"")</f>
        <v/>
      </c>
      <c r="Q111" s="33" t="str">
        <f>IF('Comptage Décadaire'!R112&lt;&gt;"",VLOOKUP('Comptage Décadaire'!R112,Utilisateurs!$D:$F,3,FALSE),"")</f>
        <v/>
      </c>
      <c r="R111" s="30" t="str">
        <f>IF('Comptage Décadaire'!S112&lt;&gt;"",VLOOKUP('Comptage Décadaire'!S112,Nomenclature!$N:$O,2,FALSE),"")</f>
        <v/>
      </c>
      <c r="S111" s="30" t="str">
        <f>IF('Comptage Décadaire'!T112&lt;&gt;"",VLOOKUP('Comptage Décadaire'!T112,'Comptage Décadaire'!T:T,1,FALSE),"")</f>
        <v/>
      </c>
      <c r="T111" s="30" t="str">
        <f>IF('Comptage Décadaire'!U112&lt;&gt;"",VLOOKUP('Comptage Décadaire'!U112,'Comptage Décadaire'!U:U,1,FALSE),"")</f>
        <v/>
      </c>
      <c r="U111" s="30" t="str">
        <f>IF('Comptage Décadaire'!V112&lt;&gt;"",VLOOKUP('Comptage Décadaire'!V112,'Comptage Décadaire'!V:V,1,FALSE),"")</f>
        <v/>
      </c>
      <c r="V111" s="30" t="str">
        <f>IF('Comptage Décadaire'!W112&lt;&gt;"",VLOOKUP('Comptage Décadaire'!W112,'Comptage Décadaire'!W:W,1,FALSE),"")</f>
        <v/>
      </c>
      <c r="W111" s="30" t="str">
        <f>IF('Comptage Décadaire'!X112&lt;&gt;"",VLOOKUP('Comptage Décadaire'!X112,'Comptage Décadaire'!X:X,1,FALSE),"")</f>
        <v/>
      </c>
      <c r="X111" s="30" t="str">
        <f>IF('Comptage Décadaire'!Y112&lt;&gt;"",VLOOKUP('Comptage Décadaire'!Y112,'Comptage Décadaire'!Y:Y,1,FALSE),"")</f>
        <v/>
      </c>
      <c r="Y111" s="30" t="str">
        <f>IF('Comptage Décadaire'!Z112&lt;&gt;"",VLOOKUP('Comptage Décadaire'!Z112,Nomenclature!$F$2:$G$7,2,FALSE),"")</f>
        <v/>
      </c>
      <c r="Z111" s="30" t="str">
        <f>IF('Comptage Décadaire'!AA112&lt;&gt;"",VLOOKUP('Comptage Décadaire'!AA112,Nomenclature!$H$2:$I$31,2,FALSE),"")</f>
        <v/>
      </c>
      <c r="AA111" s="30" t="str">
        <f>IF('Comptage Décadaire'!AB112&lt;&gt;"",VLOOKUP('Comptage Décadaire'!AB112,Nomenclature!$J$2:$K$21,2,FALSE),"")</f>
        <v/>
      </c>
      <c r="AB111" s="30" t="str">
        <f>IF('Comptage Décadaire'!AC112&lt;&gt;"",VLOOKUP('Comptage Décadaire'!AC112,'Comptage Décadaire'!AC:AC,1,FALSE),"")</f>
        <v/>
      </c>
      <c r="AC111" s="32" t="str">
        <f>IF('Comptage Décadaire'!AD112&lt;&gt;"",VLOOKUP('Comptage Décadaire'!AD112,Nomenclature!$L$2:$M$8,2,FALSE),"")</f>
        <v/>
      </c>
      <c r="AD111" s="32" t="str">
        <f>IF('Comptage Décadaire'!AE112&lt;&gt;"",VLOOKUP('Comptage Décadaire'!AE112,Utilisateurs!$D$2:$F$81,3,FALSE),"")</f>
        <v/>
      </c>
      <c r="AE111" s="35" t="str">
        <f>IF('Comptage Décadaire'!AF112&lt;&gt;"",VLOOKUP('Comptage Décadaire'!AF112,'Comptage Décadaire'!AF:AF,1,FALSE),"")</f>
        <v/>
      </c>
      <c r="AF111" s="32" t="str">
        <f>IF('Comptage Décadaire'!AG112&lt;&gt;"",VLOOKUP('Comptage Décadaire'!AG112,'Comptage Décadaire'!AG:AG,1,FALSE),"")</f>
        <v/>
      </c>
    </row>
    <row r="112" spans="1:32" x14ac:dyDescent="0.25">
      <c r="A112" s="25" t="str">
        <f>IF('Comptage Décadaire'!A113&lt;&gt;"",VLOOKUP('Comptage Décadaire'!A113,'Comptage Décadaire'!A:A,1,FALSE),"")</f>
        <v/>
      </c>
      <c r="B112" s="27" t="str">
        <f>IF('Comptage Décadaire'!B113&lt;&gt;"",VLOOKUP('Comptage Décadaire'!B113,'Comptage Décadaire'!B:B,1,FALSE),"")</f>
        <v/>
      </c>
      <c r="C112" s="28" t="str">
        <f>IF('Comptage Décadaire'!C113&lt;&gt;"",VLOOKUP('Comptage Décadaire'!C113,'Comptage Décadaire'!C:C,1,FALSE),"")</f>
        <v/>
      </c>
      <c r="D112" s="29" t="str">
        <f>IF('Comptage Décadaire'!D113&lt;&gt;"",VLOOKUP('Comptage Décadaire'!D113,Sites!$A:$B,2,FALSE),"")</f>
        <v/>
      </c>
      <c r="E112" s="29" t="str">
        <f>IF('Comptage Décadaire'!E113&lt;&gt;"",VLOOKUP('Comptage Décadaire'!E113,'Comptage Décadaire'!E:E,1,FALSE),"")</f>
        <v/>
      </c>
      <c r="F112" s="29" t="str">
        <f>IF('Comptage Décadaire'!F113&lt;&gt;"",VLOOKUP('Comptage Décadaire'!F113,Nomenclature!$B$2:$C$4,2,FALSE),"")</f>
        <v/>
      </c>
      <c r="G112" s="29" t="str">
        <f>IF('Comptage Décadaire'!G113&lt;&gt;"",VLOOKUP('Comptage Décadaire'!G113,'Comptage Décadaire'!G:G,1,FALSE),"")</f>
        <v/>
      </c>
      <c r="H112" s="29" t="str">
        <f>IF('Comptage Décadaire'!H113&lt;&gt;"",VLOOKUP('Comptage Décadaire'!H113,Nomenclature!$D$2:$E$7,2,FALSE),"")</f>
        <v/>
      </c>
      <c r="I112" s="30" t="str">
        <f>IF('Comptage Décadaire'!J113&lt;&gt;"",VLOOKUP('Comptage Décadaire'!J113,'Comptage Décadaire'!J:J,1,FALSE),"")</f>
        <v/>
      </c>
      <c r="J112" s="30" t="str">
        <f>IF('Comptage Décadaire'!K113&lt;&gt;"",VLOOKUP('Comptage Décadaire'!K113,'Comptage Décadaire'!K:K,1,FALSE),"")</f>
        <v/>
      </c>
      <c r="K112" s="30" t="str">
        <f>IF('Comptage Décadaire'!L113&lt;&gt;"",VLOOKUP('Comptage Décadaire'!L113,'Comptage Décadaire'!L:L,1,FALSE),"")</f>
        <v/>
      </c>
      <c r="L112" s="31" t="str">
        <f>IF('Comptage Décadaire'!M113&lt;&gt;"",VLOOKUP('Comptage Décadaire'!M113,'Comptage Décadaire'!M:M,1,FALSE),"")</f>
        <v/>
      </c>
      <c r="M112" s="33" t="str">
        <f>IF('Comptage Décadaire'!N113&lt;&gt;"",VLOOKUP('Comptage Décadaire'!N113,Utilisateurs!$D:$F,3,FALSE),"")</f>
        <v/>
      </c>
      <c r="N112" s="33" t="str">
        <f>IF('Comptage Décadaire'!O113&lt;&gt;"",VLOOKUP('Comptage Décadaire'!O113,Utilisateurs!$D:$F,3,FALSE),"")</f>
        <v/>
      </c>
      <c r="O112" s="33" t="str">
        <f>IF('Comptage Décadaire'!P113&lt;&gt;"",VLOOKUP('Comptage Décadaire'!P113,Utilisateurs!$D:$F,3,FALSE),"")</f>
        <v/>
      </c>
      <c r="P112" s="33" t="str">
        <f>IF('Comptage Décadaire'!Q113&lt;&gt;"",VLOOKUP('Comptage Décadaire'!Q113,Utilisateurs!$D:$F,3,FALSE),"")</f>
        <v/>
      </c>
      <c r="Q112" s="33" t="str">
        <f>IF('Comptage Décadaire'!R113&lt;&gt;"",VLOOKUP('Comptage Décadaire'!R113,Utilisateurs!$D:$F,3,FALSE),"")</f>
        <v/>
      </c>
      <c r="R112" s="30" t="str">
        <f>IF('Comptage Décadaire'!S113&lt;&gt;"",VLOOKUP('Comptage Décadaire'!S113,Nomenclature!$N:$O,2,FALSE),"")</f>
        <v/>
      </c>
      <c r="S112" s="30" t="str">
        <f>IF('Comptage Décadaire'!T113&lt;&gt;"",VLOOKUP('Comptage Décadaire'!T113,'Comptage Décadaire'!T:T,1,FALSE),"")</f>
        <v/>
      </c>
      <c r="T112" s="30" t="str">
        <f>IF('Comptage Décadaire'!U113&lt;&gt;"",VLOOKUP('Comptage Décadaire'!U113,'Comptage Décadaire'!U:U,1,FALSE),"")</f>
        <v/>
      </c>
      <c r="U112" s="30" t="str">
        <f>IF('Comptage Décadaire'!V113&lt;&gt;"",VLOOKUP('Comptage Décadaire'!V113,'Comptage Décadaire'!V:V,1,FALSE),"")</f>
        <v/>
      </c>
      <c r="V112" s="30" t="str">
        <f>IF('Comptage Décadaire'!W113&lt;&gt;"",VLOOKUP('Comptage Décadaire'!W113,'Comptage Décadaire'!W:W,1,FALSE),"")</f>
        <v/>
      </c>
      <c r="W112" s="30" t="str">
        <f>IF('Comptage Décadaire'!X113&lt;&gt;"",VLOOKUP('Comptage Décadaire'!X113,'Comptage Décadaire'!X:X,1,FALSE),"")</f>
        <v/>
      </c>
      <c r="X112" s="30" t="str">
        <f>IF('Comptage Décadaire'!Y113&lt;&gt;"",VLOOKUP('Comptage Décadaire'!Y113,'Comptage Décadaire'!Y:Y,1,FALSE),"")</f>
        <v/>
      </c>
      <c r="Y112" s="30" t="str">
        <f>IF('Comptage Décadaire'!Z113&lt;&gt;"",VLOOKUP('Comptage Décadaire'!Z113,Nomenclature!$F$2:$G$7,2,FALSE),"")</f>
        <v/>
      </c>
      <c r="Z112" s="30" t="str">
        <f>IF('Comptage Décadaire'!AA113&lt;&gt;"",VLOOKUP('Comptage Décadaire'!AA113,Nomenclature!$H$2:$I$31,2,FALSE),"")</f>
        <v/>
      </c>
      <c r="AA112" s="30" t="str">
        <f>IF('Comptage Décadaire'!AB113&lt;&gt;"",VLOOKUP('Comptage Décadaire'!AB113,Nomenclature!$J$2:$K$21,2,FALSE),"")</f>
        <v/>
      </c>
      <c r="AB112" s="30" t="str">
        <f>IF('Comptage Décadaire'!AC113&lt;&gt;"",VLOOKUP('Comptage Décadaire'!AC113,'Comptage Décadaire'!AC:AC,1,FALSE),"")</f>
        <v/>
      </c>
      <c r="AC112" s="32" t="str">
        <f>IF('Comptage Décadaire'!AD113&lt;&gt;"",VLOOKUP('Comptage Décadaire'!AD113,Nomenclature!$L$2:$M$8,2,FALSE),"")</f>
        <v/>
      </c>
      <c r="AD112" s="32" t="str">
        <f>IF('Comptage Décadaire'!AE113&lt;&gt;"",VLOOKUP('Comptage Décadaire'!AE113,Utilisateurs!$D$2:$F$81,3,FALSE),"")</f>
        <v/>
      </c>
      <c r="AE112" s="35" t="str">
        <f>IF('Comptage Décadaire'!AF113&lt;&gt;"",VLOOKUP('Comptage Décadaire'!AF113,'Comptage Décadaire'!AF:AF,1,FALSE),"")</f>
        <v/>
      </c>
      <c r="AF112" s="32" t="str">
        <f>IF('Comptage Décadaire'!AG113&lt;&gt;"",VLOOKUP('Comptage Décadaire'!AG113,'Comptage Décadaire'!AG:AG,1,FALSE),"")</f>
        <v/>
      </c>
    </row>
    <row r="113" spans="1:32" x14ac:dyDescent="0.25">
      <c r="A113" s="25" t="str">
        <f>IF('Comptage Décadaire'!A114&lt;&gt;"",VLOOKUP('Comptage Décadaire'!A114,'Comptage Décadaire'!A:A,1,FALSE),"")</f>
        <v/>
      </c>
      <c r="B113" s="27" t="str">
        <f>IF('Comptage Décadaire'!B114&lt;&gt;"",VLOOKUP('Comptage Décadaire'!B114,'Comptage Décadaire'!B:B,1,FALSE),"")</f>
        <v/>
      </c>
      <c r="C113" s="28" t="str">
        <f>IF('Comptage Décadaire'!C114&lt;&gt;"",VLOOKUP('Comptage Décadaire'!C114,'Comptage Décadaire'!C:C,1,FALSE),"")</f>
        <v/>
      </c>
      <c r="D113" s="29" t="str">
        <f>IF('Comptage Décadaire'!D114&lt;&gt;"",VLOOKUP('Comptage Décadaire'!D114,Sites!$A:$B,2,FALSE),"")</f>
        <v/>
      </c>
      <c r="E113" s="29" t="str">
        <f>IF('Comptage Décadaire'!E114&lt;&gt;"",VLOOKUP('Comptage Décadaire'!E114,'Comptage Décadaire'!E:E,1,FALSE),"")</f>
        <v/>
      </c>
      <c r="F113" s="29" t="str">
        <f>IF('Comptage Décadaire'!F114&lt;&gt;"",VLOOKUP('Comptage Décadaire'!F114,Nomenclature!$B$2:$C$4,2,FALSE),"")</f>
        <v/>
      </c>
      <c r="G113" s="29" t="str">
        <f>IF('Comptage Décadaire'!G114&lt;&gt;"",VLOOKUP('Comptage Décadaire'!G114,'Comptage Décadaire'!G:G,1,FALSE),"")</f>
        <v/>
      </c>
      <c r="H113" s="29" t="str">
        <f>IF('Comptage Décadaire'!H114&lt;&gt;"",VLOOKUP('Comptage Décadaire'!H114,Nomenclature!$D$2:$E$7,2,FALSE),"")</f>
        <v/>
      </c>
      <c r="I113" s="30" t="str">
        <f>IF('Comptage Décadaire'!J114&lt;&gt;"",VLOOKUP('Comptage Décadaire'!J114,'Comptage Décadaire'!J:J,1,FALSE),"")</f>
        <v/>
      </c>
      <c r="J113" s="30" t="str">
        <f>IF('Comptage Décadaire'!K114&lt;&gt;"",VLOOKUP('Comptage Décadaire'!K114,'Comptage Décadaire'!K:K,1,FALSE),"")</f>
        <v/>
      </c>
      <c r="K113" s="30" t="str">
        <f>IF('Comptage Décadaire'!L114&lt;&gt;"",VLOOKUP('Comptage Décadaire'!L114,'Comptage Décadaire'!L:L,1,FALSE),"")</f>
        <v/>
      </c>
      <c r="L113" s="31" t="str">
        <f>IF('Comptage Décadaire'!M114&lt;&gt;"",VLOOKUP('Comptage Décadaire'!M114,'Comptage Décadaire'!M:M,1,FALSE),"")</f>
        <v/>
      </c>
      <c r="M113" s="33" t="str">
        <f>IF('Comptage Décadaire'!N114&lt;&gt;"",VLOOKUP('Comptage Décadaire'!N114,Utilisateurs!$D:$F,3,FALSE),"")</f>
        <v/>
      </c>
      <c r="N113" s="33" t="str">
        <f>IF('Comptage Décadaire'!O114&lt;&gt;"",VLOOKUP('Comptage Décadaire'!O114,Utilisateurs!$D:$F,3,FALSE),"")</f>
        <v/>
      </c>
      <c r="O113" s="33" t="str">
        <f>IF('Comptage Décadaire'!P114&lt;&gt;"",VLOOKUP('Comptage Décadaire'!P114,Utilisateurs!$D:$F,3,FALSE),"")</f>
        <v/>
      </c>
      <c r="P113" s="33" t="str">
        <f>IF('Comptage Décadaire'!Q114&lt;&gt;"",VLOOKUP('Comptage Décadaire'!Q114,Utilisateurs!$D:$F,3,FALSE),"")</f>
        <v/>
      </c>
      <c r="Q113" s="33" t="str">
        <f>IF('Comptage Décadaire'!R114&lt;&gt;"",VLOOKUP('Comptage Décadaire'!R114,Utilisateurs!$D:$F,3,FALSE),"")</f>
        <v/>
      </c>
      <c r="R113" s="30" t="str">
        <f>IF('Comptage Décadaire'!S114&lt;&gt;"",VLOOKUP('Comptage Décadaire'!S114,Nomenclature!$N:$O,2,FALSE),"")</f>
        <v/>
      </c>
      <c r="S113" s="30" t="str">
        <f>IF('Comptage Décadaire'!T114&lt;&gt;"",VLOOKUP('Comptage Décadaire'!T114,'Comptage Décadaire'!T:T,1,FALSE),"")</f>
        <v/>
      </c>
      <c r="T113" s="30" t="str">
        <f>IF('Comptage Décadaire'!U114&lt;&gt;"",VLOOKUP('Comptage Décadaire'!U114,'Comptage Décadaire'!U:U,1,FALSE),"")</f>
        <v/>
      </c>
      <c r="U113" s="30" t="str">
        <f>IF('Comptage Décadaire'!V114&lt;&gt;"",VLOOKUP('Comptage Décadaire'!V114,'Comptage Décadaire'!V:V,1,FALSE),"")</f>
        <v/>
      </c>
      <c r="V113" s="30" t="str">
        <f>IF('Comptage Décadaire'!W114&lt;&gt;"",VLOOKUP('Comptage Décadaire'!W114,'Comptage Décadaire'!W:W,1,FALSE),"")</f>
        <v/>
      </c>
      <c r="W113" s="30" t="str">
        <f>IF('Comptage Décadaire'!X114&lt;&gt;"",VLOOKUP('Comptage Décadaire'!X114,'Comptage Décadaire'!X:X,1,FALSE),"")</f>
        <v/>
      </c>
      <c r="X113" s="30" t="str">
        <f>IF('Comptage Décadaire'!Y114&lt;&gt;"",VLOOKUP('Comptage Décadaire'!Y114,'Comptage Décadaire'!Y:Y,1,FALSE),"")</f>
        <v/>
      </c>
      <c r="Y113" s="30" t="str">
        <f>IF('Comptage Décadaire'!Z114&lt;&gt;"",VLOOKUP('Comptage Décadaire'!Z114,Nomenclature!$F$2:$G$7,2,FALSE),"")</f>
        <v/>
      </c>
      <c r="Z113" s="30" t="str">
        <f>IF('Comptage Décadaire'!AA114&lt;&gt;"",VLOOKUP('Comptage Décadaire'!AA114,Nomenclature!$H$2:$I$31,2,FALSE),"")</f>
        <v/>
      </c>
      <c r="AA113" s="30" t="str">
        <f>IF('Comptage Décadaire'!AB114&lt;&gt;"",VLOOKUP('Comptage Décadaire'!AB114,Nomenclature!$J$2:$K$21,2,FALSE),"")</f>
        <v/>
      </c>
      <c r="AB113" s="30" t="str">
        <f>IF('Comptage Décadaire'!AC114&lt;&gt;"",VLOOKUP('Comptage Décadaire'!AC114,'Comptage Décadaire'!AC:AC,1,FALSE),"")</f>
        <v/>
      </c>
      <c r="AC113" s="32" t="str">
        <f>IF('Comptage Décadaire'!AD114&lt;&gt;"",VLOOKUP('Comptage Décadaire'!AD114,Nomenclature!$L$2:$M$8,2,FALSE),"")</f>
        <v/>
      </c>
      <c r="AD113" s="32" t="str">
        <f>IF('Comptage Décadaire'!AE114&lt;&gt;"",VLOOKUP('Comptage Décadaire'!AE114,Utilisateurs!$D$2:$F$81,3,FALSE),"")</f>
        <v/>
      </c>
      <c r="AE113" s="35" t="str">
        <f>IF('Comptage Décadaire'!AF114&lt;&gt;"",VLOOKUP('Comptage Décadaire'!AF114,'Comptage Décadaire'!AF:AF,1,FALSE),"")</f>
        <v/>
      </c>
      <c r="AF113" s="32" t="str">
        <f>IF('Comptage Décadaire'!AG114&lt;&gt;"",VLOOKUP('Comptage Décadaire'!AG114,'Comptage Décadaire'!AG:AG,1,FALSE),"")</f>
        <v/>
      </c>
    </row>
    <row r="114" spans="1:32" x14ac:dyDescent="0.25">
      <c r="A114" s="25" t="str">
        <f>IF('Comptage Décadaire'!A115&lt;&gt;"",VLOOKUP('Comptage Décadaire'!A115,'Comptage Décadaire'!A:A,1,FALSE),"")</f>
        <v/>
      </c>
      <c r="B114" s="27" t="str">
        <f>IF('Comptage Décadaire'!B115&lt;&gt;"",VLOOKUP('Comptage Décadaire'!B115,'Comptage Décadaire'!B:B,1,FALSE),"")</f>
        <v/>
      </c>
      <c r="C114" s="28" t="str">
        <f>IF('Comptage Décadaire'!C115&lt;&gt;"",VLOOKUP('Comptage Décadaire'!C115,'Comptage Décadaire'!C:C,1,FALSE),"")</f>
        <v/>
      </c>
      <c r="D114" s="29" t="str">
        <f>IF('Comptage Décadaire'!D115&lt;&gt;"",VLOOKUP('Comptage Décadaire'!D115,Sites!$A:$B,2,FALSE),"")</f>
        <v/>
      </c>
      <c r="E114" s="29" t="str">
        <f>IF('Comptage Décadaire'!E115&lt;&gt;"",VLOOKUP('Comptage Décadaire'!E115,'Comptage Décadaire'!E:E,1,FALSE),"")</f>
        <v/>
      </c>
      <c r="F114" s="29" t="str">
        <f>IF('Comptage Décadaire'!F115&lt;&gt;"",VLOOKUP('Comptage Décadaire'!F115,Nomenclature!$B$2:$C$4,2,FALSE),"")</f>
        <v/>
      </c>
      <c r="G114" s="29" t="str">
        <f>IF('Comptage Décadaire'!G115&lt;&gt;"",VLOOKUP('Comptage Décadaire'!G115,'Comptage Décadaire'!G:G,1,FALSE),"")</f>
        <v/>
      </c>
      <c r="H114" s="29" t="str">
        <f>IF('Comptage Décadaire'!H115&lt;&gt;"",VLOOKUP('Comptage Décadaire'!H115,Nomenclature!$D$2:$E$7,2,FALSE),"")</f>
        <v/>
      </c>
      <c r="I114" s="30" t="str">
        <f>IF('Comptage Décadaire'!J115&lt;&gt;"",VLOOKUP('Comptage Décadaire'!J115,'Comptage Décadaire'!J:J,1,FALSE),"")</f>
        <v/>
      </c>
      <c r="J114" s="30" t="str">
        <f>IF('Comptage Décadaire'!K115&lt;&gt;"",VLOOKUP('Comptage Décadaire'!K115,'Comptage Décadaire'!K:K,1,FALSE),"")</f>
        <v/>
      </c>
      <c r="K114" s="30" t="str">
        <f>IF('Comptage Décadaire'!L115&lt;&gt;"",VLOOKUP('Comptage Décadaire'!L115,'Comptage Décadaire'!L:L,1,FALSE),"")</f>
        <v/>
      </c>
      <c r="L114" s="31" t="str">
        <f>IF('Comptage Décadaire'!M115&lt;&gt;"",VLOOKUP('Comptage Décadaire'!M115,'Comptage Décadaire'!M:M,1,FALSE),"")</f>
        <v/>
      </c>
      <c r="M114" s="33" t="str">
        <f>IF('Comptage Décadaire'!N115&lt;&gt;"",VLOOKUP('Comptage Décadaire'!N115,Utilisateurs!$D:$F,3,FALSE),"")</f>
        <v/>
      </c>
      <c r="N114" s="33" t="str">
        <f>IF('Comptage Décadaire'!O115&lt;&gt;"",VLOOKUP('Comptage Décadaire'!O115,Utilisateurs!$D:$F,3,FALSE),"")</f>
        <v/>
      </c>
      <c r="O114" s="33" t="str">
        <f>IF('Comptage Décadaire'!P115&lt;&gt;"",VLOOKUP('Comptage Décadaire'!P115,Utilisateurs!$D:$F,3,FALSE),"")</f>
        <v/>
      </c>
      <c r="P114" s="33" t="str">
        <f>IF('Comptage Décadaire'!Q115&lt;&gt;"",VLOOKUP('Comptage Décadaire'!Q115,Utilisateurs!$D:$F,3,FALSE),"")</f>
        <v/>
      </c>
      <c r="Q114" s="33" t="str">
        <f>IF('Comptage Décadaire'!R115&lt;&gt;"",VLOOKUP('Comptage Décadaire'!R115,Utilisateurs!$D:$F,3,FALSE),"")</f>
        <v/>
      </c>
      <c r="R114" s="30" t="str">
        <f>IF('Comptage Décadaire'!S115&lt;&gt;"",VLOOKUP('Comptage Décadaire'!S115,Nomenclature!$N:$O,2,FALSE),"")</f>
        <v/>
      </c>
      <c r="S114" s="30" t="str">
        <f>IF('Comptage Décadaire'!T115&lt;&gt;"",VLOOKUP('Comptage Décadaire'!T115,'Comptage Décadaire'!T:T,1,FALSE),"")</f>
        <v/>
      </c>
      <c r="T114" s="30" t="str">
        <f>IF('Comptage Décadaire'!U115&lt;&gt;"",VLOOKUP('Comptage Décadaire'!U115,'Comptage Décadaire'!U:U,1,FALSE),"")</f>
        <v/>
      </c>
      <c r="U114" s="30" t="str">
        <f>IF('Comptage Décadaire'!V115&lt;&gt;"",VLOOKUP('Comptage Décadaire'!V115,'Comptage Décadaire'!V:V,1,FALSE),"")</f>
        <v/>
      </c>
      <c r="V114" s="30" t="str">
        <f>IF('Comptage Décadaire'!W115&lt;&gt;"",VLOOKUP('Comptage Décadaire'!W115,'Comptage Décadaire'!W:W,1,FALSE),"")</f>
        <v/>
      </c>
      <c r="W114" s="30" t="str">
        <f>IF('Comptage Décadaire'!X115&lt;&gt;"",VLOOKUP('Comptage Décadaire'!X115,'Comptage Décadaire'!X:X,1,FALSE),"")</f>
        <v/>
      </c>
      <c r="X114" s="30" t="str">
        <f>IF('Comptage Décadaire'!Y115&lt;&gt;"",VLOOKUP('Comptage Décadaire'!Y115,'Comptage Décadaire'!Y:Y,1,FALSE),"")</f>
        <v/>
      </c>
      <c r="Y114" s="30" t="str">
        <f>IF('Comptage Décadaire'!Z115&lt;&gt;"",VLOOKUP('Comptage Décadaire'!Z115,Nomenclature!$F$2:$G$7,2,FALSE),"")</f>
        <v/>
      </c>
      <c r="Z114" s="30" t="str">
        <f>IF('Comptage Décadaire'!AA115&lt;&gt;"",VLOOKUP('Comptage Décadaire'!AA115,Nomenclature!$H$2:$I$31,2,FALSE),"")</f>
        <v/>
      </c>
      <c r="AA114" s="30" t="str">
        <f>IF('Comptage Décadaire'!AB115&lt;&gt;"",VLOOKUP('Comptage Décadaire'!AB115,Nomenclature!$J$2:$K$21,2,FALSE),"")</f>
        <v/>
      </c>
      <c r="AB114" s="30" t="str">
        <f>IF('Comptage Décadaire'!AC115&lt;&gt;"",VLOOKUP('Comptage Décadaire'!AC115,'Comptage Décadaire'!AC:AC,1,FALSE),"")</f>
        <v/>
      </c>
      <c r="AC114" s="32" t="str">
        <f>IF('Comptage Décadaire'!AD115&lt;&gt;"",VLOOKUP('Comptage Décadaire'!AD115,Nomenclature!$L$2:$M$8,2,FALSE),"")</f>
        <v/>
      </c>
      <c r="AD114" s="32" t="str">
        <f>IF('Comptage Décadaire'!AE115&lt;&gt;"",VLOOKUP('Comptage Décadaire'!AE115,Utilisateurs!$D$2:$F$81,3,FALSE),"")</f>
        <v/>
      </c>
      <c r="AE114" s="35" t="str">
        <f>IF('Comptage Décadaire'!AF115&lt;&gt;"",VLOOKUP('Comptage Décadaire'!AF115,'Comptage Décadaire'!AF:AF,1,FALSE),"")</f>
        <v/>
      </c>
      <c r="AF114" s="32" t="str">
        <f>IF('Comptage Décadaire'!AG115&lt;&gt;"",VLOOKUP('Comptage Décadaire'!AG115,'Comptage Décadaire'!AG:AG,1,FALSE),"")</f>
        <v/>
      </c>
    </row>
    <row r="115" spans="1:32" x14ac:dyDescent="0.25">
      <c r="A115" s="25" t="str">
        <f>IF('Comptage Décadaire'!A116&lt;&gt;"",VLOOKUP('Comptage Décadaire'!A116,'Comptage Décadaire'!A:A,1,FALSE),"")</f>
        <v/>
      </c>
      <c r="B115" s="27" t="str">
        <f>IF('Comptage Décadaire'!B116&lt;&gt;"",VLOOKUP('Comptage Décadaire'!B116,'Comptage Décadaire'!B:B,1,FALSE),"")</f>
        <v/>
      </c>
      <c r="C115" s="28" t="str">
        <f>IF('Comptage Décadaire'!C116&lt;&gt;"",VLOOKUP('Comptage Décadaire'!C116,'Comptage Décadaire'!C:C,1,FALSE),"")</f>
        <v/>
      </c>
      <c r="D115" s="29" t="str">
        <f>IF('Comptage Décadaire'!D116&lt;&gt;"",VLOOKUP('Comptage Décadaire'!D116,Sites!$A:$B,2,FALSE),"")</f>
        <v/>
      </c>
      <c r="E115" s="29" t="str">
        <f>IF('Comptage Décadaire'!E116&lt;&gt;"",VLOOKUP('Comptage Décadaire'!E116,'Comptage Décadaire'!E:E,1,FALSE),"")</f>
        <v/>
      </c>
      <c r="F115" s="29" t="str">
        <f>IF('Comptage Décadaire'!F116&lt;&gt;"",VLOOKUP('Comptage Décadaire'!F116,Nomenclature!$B$2:$C$4,2,FALSE),"")</f>
        <v/>
      </c>
      <c r="G115" s="29" t="str">
        <f>IF('Comptage Décadaire'!G116&lt;&gt;"",VLOOKUP('Comptage Décadaire'!G116,'Comptage Décadaire'!G:G,1,FALSE),"")</f>
        <v/>
      </c>
      <c r="H115" s="29" t="str">
        <f>IF('Comptage Décadaire'!H116&lt;&gt;"",VLOOKUP('Comptage Décadaire'!H116,Nomenclature!$D$2:$E$7,2,FALSE),"")</f>
        <v/>
      </c>
      <c r="I115" s="30" t="str">
        <f>IF('Comptage Décadaire'!J116&lt;&gt;"",VLOOKUP('Comptage Décadaire'!J116,'Comptage Décadaire'!J:J,1,FALSE),"")</f>
        <v/>
      </c>
      <c r="J115" s="30" t="str">
        <f>IF('Comptage Décadaire'!K116&lt;&gt;"",VLOOKUP('Comptage Décadaire'!K116,'Comptage Décadaire'!K:K,1,FALSE),"")</f>
        <v/>
      </c>
      <c r="K115" s="30" t="str">
        <f>IF('Comptage Décadaire'!L116&lt;&gt;"",VLOOKUP('Comptage Décadaire'!L116,'Comptage Décadaire'!L:L,1,FALSE),"")</f>
        <v/>
      </c>
      <c r="L115" s="31" t="str">
        <f>IF('Comptage Décadaire'!M116&lt;&gt;"",VLOOKUP('Comptage Décadaire'!M116,'Comptage Décadaire'!M:M,1,FALSE),"")</f>
        <v/>
      </c>
      <c r="M115" s="33" t="str">
        <f>IF('Comptage Décadaire'!N116&lt;&gt;"",VLOOKUP('Comptage Décadaire'!N116,Utilisateurs!$D:$F,3,FALSE),"")</f>
        <v/>
      </c>
      <c r="N115" s="33" t="str">
        <f>IF('Comptage Décadaire'!O116&lt;&gt;"",VLOOKUP('Comptage Décadaire'!O116,Utilisateurs!$D:$F,3,FALSE),"")</f>
        <v/>
      </c>
      <c r="O115" s="33" t="str">
        <f>IF('Comptage Décadaire'!P116&lt;&gt;"",VLOOKUP('Comptage Décadaire'!P116,Utilisateurs!$D:$F,3,FALSE),"")</f>
        <v/>
      </c>
      <c r="P115" s="33" t="str">
        <f>IF('Comptage Décadaire'!Q116&lt;&gt;"",VLOOKUP('Comptage Décadaire'!Q116,Utilisateurs!$D:$F,3,FALSE),"")</f>
        <v/>
      </c>
      <c r="Q115" s="33" t="str">
        <f>IF('Comptage Décadaire'!R116&lt;&gt;"",VLOOKUP('Comptage Décadaire'!R116,Utilisateurs!$D:$F,3,FALSE),"")</f>
        <v/>
      </c>
      <c r="R115" s="30" t="str">
        <f>IF('Comptage Décadaire'!S116&lt;&gt;"",VLOOKUP('Comptage Décadaire'!S116,Nomenclature!$N:$O,2,FALSE),"")</f>
        <v/>
      </c>
      <c r="S115" s="30" t="str">
        <f>IF('Comptage Décadaire'!T116&lt;&gt;"",VLOOKUP('Comptage Décadaire'!T116,'Comptage Décadaire'!T:T,1,FALSE),"")</f>
        <v/>
      </c>
      <c r="T115" s="30" t="str">
        <f>IF('Comptage Décadaire'!U116&lt;&gt;"",VLOOKUP('Comptage Décadaire'!U116,'Comptage Décadaire'!U:U,1,FALSE),"")</f>
        <v/>
      </c>
      <c r="U115" s="30" t="str">
        <f>IF('Comptage Décadaire'!V116&lt;&gt;"",VLOOKUP('Comptage Décadaire'!V116,'Comptage Décadaire'!V:V,1,FALSE),"")</f>
        <v/>
      </c>
      <c r="V115" s="30" t="str">
        <f>IF('Comptage Décadaire'!W116&lt;&gt;"",VLOOKUP('Comptage Décadaire'!W116,'Comptage Décadaire'!W:W,1,FALSE),"")</f>
        <v/>
      </c>
      <c r="W115" s="30" t="str">
        <f>IF('Comptage Décadaire'!X116&lt;&gt;"",VLOOKUP('Comptage Décadaire'!X116,'Comptage Décadaire'!X:X,1,FALSE),"")</f>
        <v/>
      </c>
      <c r="X115" s="30" t="str">
        <f>IF('Comptage Décadaire'!Y116&lt;&gt;"",VLOOKUP('Comptage Décadaire'!Y116,'Comptage Décadaire'!Y:Y,1,FALSE),"")</f>
        <v/>
      </c>
      <c r="Y115" s="30" t="str">
        <f>IF('Comptage Décadaire'!Z116&lt;&gt;"",VLOOKUP('Comptage Décadaire'!Z116,Nomenclature!$F$2:$G$7,2,FALSE),"")</f>
        <v/>
      </c>
      <c r="Z115" s="30" t="str">
        <f>IF('Comptage Décadaire'!AA116&lt;&gt;"",VLOOKUP('Comptage Décadaire'!AA116,Nomenclature!$H$2:$I$31,2,FALSE),"")</f>
        <v/>
      </c>
      <c r="AA115" s="30" t="str">
        <f>IF('Comptage Décadaire'!AB116&lt;&gt;"",VLOOKUP('Comptage Décadaire'!AB116,Nomenclature!$J$2:$K$21,2,FALSE),"")</f>
        <v/>
      </c>
      <c r="AB115" s="30" t="str">
        <f>IF('Comptage Décadaire'!AC116&lt;&gt;"",VLOOKUP('Comptage Décadaire'!AC116,'Comptage Décadaire'!AC:AC,1,FALSE),"")</f>
        <v/>
      </c>
      <c r="AC115" s="32" t="str">
        <f>IF('Comptage Décadaire'!AD116&lt;&gt;"",VLOOKUP('Comptage Décadaire'!AD116,Nomenclature!$L$2:$M$8,2,FALSE),"")</f>
        <v/>
      </c>
      <c r="AD115" s="32" t="str">
        <f>IF('Comptage Décadaire'!AE116&lt;&gt;"",VLOOKUP('Comptage Décadaire'!AE116,Utilisateurs!$D$2:$F$81,3,FALSE),"")</f>
        <v/>
      </c>
      <c r="AE115" s="35" t="str">
        <f>IF('Comptage Décadaire'!AF116&lt;&gt;"",VLOOKUP('Comptage Décadaire'!AF116,'Comptage Décadaire'!AF:AF,1,FALSE),"")</f>
        <v/>
      </c>
      <c r="AF115" s="32" t="str">
        <f>IF('Comptage Décadaire'!AG116&lt;&gt;"",VLOOKUP('Comptage Décadaire'!AG116,'Comptage Décadaire'!AG:AG,1,FALSE),"")</f>
        <v/>
      </c>
    </row>
    <row r="116" spans="1:32" x14ac:dyDescent="0.25">
      <c r="A116" s="25" t="str">
        <f>IF('Comptage Décadaire'!A117&lt;&gt;"",VLOOKUP('Comptage Décadaire'!A117,'Comptage Décadaire'!A:A,1,FALSE),"")</f>
        <v/>
      </c>
      <c r="B116" s="27" t="str">
        <f>IF('Comptage Décadaire'!B117&lt;&gt;"",VLOOKUP('Comptage Décadaire'!B117,'Comptage Décadaire'!B:B,1,FALSE),"")</f>
        <v/>
      </c>
      <c r="C116" s="28" t="str">
        <f>IF('Comptage Décadaire'!C117&lt;&gt;"",VLOOKUP('Comptage Décadaire'!C117,'Comptage Décadaire'!C:C,1,FALSE),"")</f>
        <v/>
      </c>
      <c r="D116" s="29" t="str">
        <f>IF('Comptage Décadaire'!D117&lt;&gt;"",VLOOKUP('Comptage Décadaire'!D117,Sites!$A:$B,2,FALSE),"")</f>
        <v/>
      </c>
      <c r="E116" s="29" t="str">
        <f>IF('Comptage Décadaire'!E117&lt;&gt;"",VLOOKUP('Comptage Décadaire'!E117,'Comptage Décadaire'!E:E,1,FALSE),"")</f>
        <v/>
      </c>
      <c r="F116" s="29" t="str">
        <f>IF('Comptage Décadaire'!F117&lt;&gt;"",VLOOKUP('Comptage Décadaire'!F117,Nomenclature!$B$2:$C$4,2,FALSE),"")</f>
        <v/>
      </c>
      <c r="G116" s="29" t="str">
        <f>IF('Comptage Décadaire'!G117&lt;&gt;"",VLOOKUP('Comptage Décadaire'!G117,'Comptage Décadaire'!G:G,1,FALSE),"")</f>
        <v/>
      </c>
      <c r="H116" s="29" t="str">
        <f>IF('Comptage Décadaire'!H117&lt;&gt;"",VLOOKUP('Comptage Décadaire'!H117,Nomenclature!$D$2:$E$7,2,FALSE),"")</f>
        <v/>
      </c>
      <c r="I116" s="30" t="str">
        <f>IF('Comptage Décadaire'!J117&lt;&gt;"",VLOOKUP('Comptage Décadaire'!J117,'Comptage Décadaire'!J:J,1,FALSE),"")</f>
        <v/>
      </c>
      <c r="J116" s="30" t="str">
        <f>IF('Comptage Décadaire'!K117&lt;&gt;"",VLOOKUP('Comptage Décadaire'!K117,'Comptage Décadaire'!K:K,1,FALSE),"")</f>
        <v/>
      </c>
      <c r="K116" s="30" t="str">
        <f>IF('Comptage Décadaire'!L117&lt;&gt;"",VLOOKUP('Comptage Décadaire'!L117,'Comptage Décadaire'!L:L,1,FALSE),"")</f>
        <v/>
      </c>
      <c r="L116" s="31" t="str">
        <f>IF('Comptage Décadaire'!M117&lt;&gt;"",VLOOKUP('Comptage Décadaire'!M117,'Comptage Décadaire'!M:M,1,FALSE),"")</f>
        <v/>
      </c>
      <c r="M116" s="33" t="str">
        <f>IF('Comptage Décadaire'!N117&lt;&gt;"",VLOOKUP('Comptage Décadaire'!N117,Utilisateurs!$D:$F,3,FALSE),"")</f>
        <v/>
      </c>
      <c r="N116" s="33" t="str">
        <f>IF('Comptage Décadaire'!O117&lt;&gt;"",VLOOKUP('Comptage Décadaire'!O117,Utilisateurs!$D:$F,3,FALSE),"")</f>
        <v/>
      </c>
      <c r="O116" s="33" t="str">
        <f>IF('Comptage Décadaire'!P117&lt;&gt;"",VLOOKUP('Comptage Décadaire'!P117,Utilisateurs!$D:$F,3,FALSE),"")</f>
        <v/>
      </c>
      <c r="P116" s="33" t="str">
        <f>IF('Comptage Décadaire'!Q117&lt;&gt;"",VLOOKUP('Comptage Décadaire'!Q117,Utilisateurs!$D:$F,3,FALSE),"")</f>
        <v/>
      </c>
      <c r="Q116" s="33" t="str">
        <f>IF('Comptage Décadaire'!R117&lt;&gt;"",VLOOKUP('Comptage Décadaire'!R117,Utilisateurs!$D:$F,3,FALSE),"")</f>
        <v/>
      </c>
      <c r="R116" s="30" t="str">
        <f>IF('Comptage Décadaire'!S117&lt;&gt;"",VLOOKUP('Comptage Décadaire'!S117,Nomenclature!$N:$O,2,FALSE),"")</f>
        <v/>
      </c>
      <c r="S116" s="30" t="str">
        <f>IF('Comptage Décadaire'!T117&lt;&gt;"",VLOOKUP('Comptage Décadaire'!T117,'Comptage Décadaire'!T:T,1,FALSE),"")</f>
        <v/>
      </c>
      <c r="T116" s="30" t="str">
        <f>IF('Comptage Décadaire'!U117&lt;&gt;"",VLOOKUP('Comptage Décadaire'!U117,'Comptage Décadaire'!U:U,1,FALSE),"")</f>
        <v/>
      </c>
      <c r="U116" s="30" t="str">
        <f>IF('Comptage Décadaire'!V117&lt;&gt;"",VLOOKUP('Comptage Décadaire'!V117,'Comptage Décadaire'!V:V,1,FALSE),"")</f>
        <v/>
      </c>
      <c r="V116" s="30" t="str">
        <f>IF('Comptage Décadaire'!W117&lt;&gt;"",VLOOKUP('Comptage Décadaire'!W117,'Comptage Décadaire'!W:W,1,FALSE),"")</f>
        <v/>
      </c>
      <c r="W116" s="30" t="str">
        <f>IF('Comptage Décadaire'!X117&lt;&gt;"",VLOOKUP('Comptage Décadaire'!X117,'Comptage Décadaire'!X:X,1,FALSE),"")</f>
        <v/>
      </c>
      <c r="X116" s="30" t="str">
        <f>IF('Comptage Décadaire'!Y117&lt;&gt;"",VLOOKUP('Comptage Décadaire'!Y117,'Comptage Décadaire'!Y:Y,1,FALSE),"")</f>
        <v/>
      </c>
      <c r="Y116" s="30" t="str">
        <f>IF('Comptage Décadaire'!Z117&lt;&gt;"",VLOOKUP('Comptage Décadaire'!Z117,Nomenclature!$F$2:$G$7,2,FALSE),"")</f>
        <v/>
      </c>
      <c r="Z116" s="30" t="str">
        <f>IF('Comptage Décadaire'!AA117&lt;&gt;"",VLOOKUP('Comptage Décadaire'!AA117,Nomenclature!$H$2:$I$31,2,FALSE),"")</f>
        <v/>
      </c>
      <c r="AA116" s="30" t="str">
        <f>IF('Comptage Décadaire'!AB117&lt;&gt;"",VLOOKUP('Comptage Décadaire'!AB117,Nomenclature!$J$2:$K$21,2,FALSE),"")</f>
        <v/>
      </c>
      <c r="AB116" s="30" t="str">
        <f>IF('Comptage Décadaire'!AC117&lt;&gt;"",VLOOKUP('Comptage Décadaire'!AC117,'Comptage Décadaire'!AC:AC,1,FALSE),"")</f>
        <v/>
      </c>
      <c r="AC116" s="32" t="str">
        <f>IF('Comptage Décadaire'!AD117&lt;&gt;"",VLOOKUP('Comptage Décadaire'!AD117,Nomenclature!$L$2:$M$8,2,FALSE),"")</f>
        <v/>
      </c>
      <c r="AD116" s="32" t="str">
        <f>IF('Comptage Décadaire'!AE117&lt;&gt;"",VLOOKUP('Comptage Décadaire'!AE117,Utilisateurs!$D$2:$F$81,3,FALSE),"")</f>
        <v/>
      </c>
      <c r="AE116" s="35" t="str">
        <f>IF('Comptage Décadaire'!AF117&lt;&gt;"",VLOOKUP('Comptage Décadaire'!AF117,'Comptage Décadaire'!AF:AF,1,FALSE),"")</f>
        <v/>
      </c>
      <c r="AF116" s="32" t="str">
        <f>IF('Comptage Décadaire'!AG117&lt;&gt;"",VLOOKUP('Comptage Décadaire'!AG117,'Comptage Décadaire'!AG:AG,1,FALSE),"")</f>
        <v/>
      </c>
    </row>
    <row r="117" spans="1:32" x14ac:dyDescent="0.25">
      <c r="A117" s="25" t="str">
        <f>IF('Comptage Décadaire'!A118&lt;&gt;"",VLOOKUP('Comptage Décadaire'!A118,'Comptage Décadaire'!A:A,1,FALSE),"")</f>
        <v/>
      </c>
      <c r="B117" s="27" t="str">
        <f>IF('Comptage Décadaire'!B118&lt;&gt;"",VLOOKUP('Comptage Décadaire'!B118,'Comptage Décadaire'!B:B,1,FALSE),"")</f>
        <v/>
      </c>
      <c r="C117" s="28" t="str">
        <f>IF('Comptage Décadaire'!C118&lt;&gt;"",VLOOKUP('Comptage Décadaire'!C118,'Comptage Décadaire'!C:C,1,FALSE),"")</f>
        <v/>
      </c>
      <c r="D117" s="29" t="str">
        <f>IF('Comptage Décadaire'!D118&lt;&gt;"",VLOOKUP('Comptage Décadaire'!D118,Sites!$A:$B,2,FALSE),"")</f>
        <v/>
      </c>
      <c r="E117" s="29" t="str">
        <f>IF('Comptage Décadaire'!E118&lt;&gt;"",VLOOKUP('Comptage Décadaire'!E118,'Comptage Décadaire'!E:E,1,FALSE),"")</f>
        <v/>
      </c>
      <c r="F117" s="29" t="str">
        <f>IF('Comptage Décadaire'!F118&lt;&gt;"",VLOOKUP('Comptage Décadaire'!F118,Nomenclature!$B$2:$C$4,2,FALSE),"")</f>
        <v/>
      </c>
      <c r="G117" s="29" t="str">
        <f>IF('Comptage Décadaire'!G118&lt;&gt;"",VLOOKUP('Comptage Décadaire'!G118,'Comptage Décadaire'!G:G,1,FALSE),"")</f>
        <v/>
      </c>
      <c r="H117" s="29" t="str">
        <f>IF('Comptage Décadaire'!H118&lt;&gt;"",VLOOKUP('Comptage Décadaire'!H118,Nomenclature!$D$2:$E$7,2,FALSE),"")</f>
        <v/>
      </c>
      <c r="I117" s="30" t="str">
        <f>IF('Comptage Décadaire'!J118&lt;&gt;"",VLOOKUP('Comptage Décadaire'!J118,'Comptage Décadaire'!J:J,1,FALSE),"")</f>
        <v/>
      </c>
      <c r="J117" s="30" t="str">
        <f>IF('Comptage Décadaire'!K118&lt;&gt;"",VLOOKUP('Comptage Décadaire'!K118,'Comptage Décadaire'!K:K,1,FALSE),"")</f>
        <v/>
      </c>
      <c r="K117" s="30" t="str">
        <f>IF('Comptage Décadaire'!L118&lt;&gt;"",VLOOKUP('Comptage Décadaire'!L118,'Comptage Décadaire'!L:L,1,FALSE),"")</f>
        <v/>
      </c>
      <c r="L117" s="31" t="str">
        <f>IF('Comptage Décadaire'!M118&lt;&gt;"",VLOOKUP('Comptage Décadaire'!M118,'Comptage Décadaire'!M:M,1,FALSE),"")</f>
        <v/>
      </c>
      <c r="M117" s="33" t="str">
        <f>IF('Comptage Décadaire'!N118&lt;&gt;"",VLOOKUP('Comptage Décadaire'!N118,Utilisateurs!$D:$F,3,FALSE),"")</f>
        <v/>
      </c>
      <c r="N117" s="33" t="str">
        <f>IF('Comptage Décadaire'!O118&lt;&gt;"",VLOOKUP('Comptage Décadaire'!O118,Utilisateurs!$D:$F,3,FALSE),"")</f>
        <v/>
      </c>
      <c r="O117" s="33" t="str">
        <f>IF('Comptage Décadaire'!P118&lt;&gt;"",VLOOKUP('Comptage Décadaire'!P118,Utilisateurs!$D:$F,3,FALSE),"")</f>
        <v/>
      </c>
      <c r="P117" s="33" t="str">
        <f>IF('Comptage Décadaire'!Q118&lt;&gt;"",VLOOKUP('Comptage Décadaire'!Q118,Utilisateurs!$D:$F,3,FALSE),"")</f>
        <v/>
      </c>
      <c r="Q117" s="33" t="str">
        <f>IF('Comptage Décadaire'!R118&lt;&gt;"",VLOOKUP('Comptage Décadaire'!R118,Utilisateurs!$D:$F,3,FALSE),"")</f>
        <v/>
      </c>
      <c r="R117" s="30" t="str">
        <f>IF('Comptage Décadaire'!S118&lt;&gt;"",VLOOKUP('Comptage Décadaire'!S118,Nomenclature!$N:$O,2,FALSE),"")</f>
        <v/>
      </c>
      <c r="S117" s="30" t="str">
        <f>IF('Comptage Décadaire'!T118&lt;&gt;"",VLOOKUP('Comptage Décadaire'!T118,'Comptage Décadaire'!T:T,1,FALSE),"")</f>
        <v/>
      </c>
      <c r="T117" s="30" t="str">
        <f>IF('Comptage Décadaire'!U118&lt;&gt;"",VLOOKUP('Comptage Décadaire'!U118,'Comptage Décadaire'!U:U,1,FALSE),"")</f>
        <v/>
      </c>
      <c r="U117" s="30" t="str">
        <f>IF('Comptage Décadaire'!V118&lt;&gt;"",VLOOKUP('Comptage Décadaire'!V118,'Comptage Décadaire'!V:V,1,FALSE),"")</f>
        <v/>
      </c>
      <c r="V117" s="30" t="str">
        <f>IF('Comptage Décadaire'!W118&lt;&gt;"",VLOOKUP('Comptage Décadaire'!W118,'Comptage Décadaire'!W:W,1,FALSE),"")</f>
        <v/>
      </c>
      <c r="W117" s="30" t="str">
        <f>IF('Comptage Décadaire'!X118&lt;&gt;"",VLOOKUP('Comptage Décadaire'!X118,'Comptage Décadaire'!X:X,1,FALSE),"")</f>
        <v/>
      </c>
      <c r="X117" s="30" t="str">
        <f>IF('Comptage Décadaire'!Y118&lt;&gt;"",VLOOKUP('Comptage Décadaire'!Y118,'Comptage Décadaire'!Y:Y,1,FALSE),"")</f>
        <v/>
      </c>
      <c r="Y117" s="30" t="str">
        <f>IF('Comptage Décadaire'!Z118&lt;&gt;"",VLOOKUP('Comptage Décadaire'!Z118,Nomenclature!$F$2:$G$7,2,FALSE),"")</f>
        <v/>
      </c>
      <c r="Z117" s="30" t="str">
        <f>IF('Comptage Décadaire'!AA118&lt;&gt;"",VLOOKUP('Comptage Décadaire'!AA118,Nomenclature!$H$2:$I$31,2,FALSE),"")</f>
        <v/>
      </c>
      <c r="AA117" s="30" t="str">
        <f>IF('Comptage Décadaire'!AB118&lt;&gt;"",VLOOKUP('Comptage Décadaire'!AB118,Nomenclature!$J$2:$K$21,2,FALSE),"")</f>
        <v/>
      </c>
      <c r="AB117" s="30" t="str">
        <f>IF('Comptage Décadaire'!AC118&lt;&gt;"",VLOOKUP('Comptage Décadaire'!AC118,'Comptage Décadaire'!AC:AC,1,FALSE),"")</f>
        <v/>
      </c>
      <c r="AC117" s="32" t="str">
        <f>IF('Comptage Décadaire'!AD118&lt;&gt;"",VLOOKUP('Comptage Décadaire'!AD118,Nomenclature!$L$2:$M$8,2,FALSE),"")</f>
        <v/>
      </c>
      <c r="AD117" s="32" t="str">
        <f>IF('Comptage Décadaire'!AE118&lt;&gt;"",VLOOKUP('Comptage Décadaire'!AE118,Utilisateurs!$D$2:$F$81,3,FALSE),"")</f>
        <v/>
      </c>
      <c r="AE117" s="35" t="str">
        <f>IF('Comptage Décadaire'!AF118&lt;&gt;"",VLOOKUP('Comptage Décadaire'!AF118,'Comptage Décadaire'!AF:AF,1,FALSE),"")</f>
        <v/>
      </c>
      <c r="AF117" s="32" t="str">
        <f>IF('Comptage Décadaire'!AG118&lt;&gt;"",VLOOKUP('Comptage Décadaire'!AG118,'Comptage Décadaire'!AG:AG,1,FALSE),"")</f>
        <v/>
      </c>
    </row>
    <row r="118" spans="1:32" x14ac:dyDescent="0.25">
      <c r="A118" s="25" t="str">
        <f>IF('Comptage Décadaire'!A119&lt;&gt;"",VLOOKUP('Comptage Décadaire'!A119,'Comptage Décadaire'!A:A,1,FALSE),"")</f>
        <v/>
      </c>
      <c r="B118" s="27" t="str">
        <f>IF('Comptage Décadaire'!B119&lt;&gt;"",VLOOKUP('Comptage Décadaire'!B119,'Comptage Décadaire'!B:B,1,FALSE),"")</f>
        <v/>
      </c>
      <c r="C118" s="28" t="str">
        <f>IF('Comptage Décadaire'!C119&lt;&gt;"",VLOOKUP('Comptage Décadaire'!C119,'Comptage Décadaire'!C:C,1,FALSE),"")</f>
        <v/>
      </c>
      <c r="D118" s="29" t="str">
        <f>IF('Comptage Décadaire'!D119&lt;&gt;"",VLOOKUP('Comptage Décadaire'!D119,Sites!$A:$B,2,FALSE),"")</f>
        <v/>
      </c>
      <c r="E118" s="29" t="str">
        <f>IF('Comptage Décadaire'!E119&lt;&gt;"",VLOOKUP('Comptage Décadaire'!E119,'Comptage Décadaire'!E:E,1,FALSE),"")</f>
        <v/>
      </c>
      <c r="F118" s="29" t="str">
        <f>IF('Comptage Décadaire'!F119&lt;&gt;"",VLOOKUP('Comptage Décadaire'!F119,Nomenclature!$B$2:$C$4,2,FALSE),"")</f>
        <v/>
      </c>
      <c r="G118" s="29" t="str">
        <f>IF('Comptage Décadaire'!G119&lt;&gt;"",VLOOKUP('Comptage Décadaire'!G119,'Comptage Décadaire'!G:G,1,FALSE),"")</f>
        <v/>
      </c>
      <c r="H118" s="29" t="str">
        <f>IF('Comptage Décadaire'!H119&lt;&gt;"",VLOOKUP('Comptage Décadaire'!H119,Nomenclature!$D$2:$E$7,2,FALSE),"")</f>
        <v/>
      </c>
      <c r="I118" s="30" t="str">
        <f>IF('Comptage Décadaire'!J119&lt;&gt;"",VLOOKUP('Comptage Décadaire'!J119,'Comptage Décadaire'!J:J,1,FALSE),"")</f>
        <v/>
      </c>
      <c r="J118" s="30" t="str">
        <f>IF('Comptage Décadaire'!K119&lt;&gt;"",VLOOKUP('Comptage Décadaire'!K119,'Comptage Décadaire'!K:K,1,FALSE),"")</f>
        <v/>
      </c>
      <c r="K118" s="30" t="str">
        <f>IF('Comptage Décadaire'!L119&lt;&gt;"",VLOOKUP('Comptage Décadaire'!L119,'Comptage Décadaire'!L:L,1,FALSE),"")</f>
        <v/>
      </c>
      <c r="L118" s="31" t="str">
        <f>IF('Comptage Décadaire'!M119&lt;&gt;"",VLOOKUP('Comptage Décadaire'!M119,'Comptage Décadaire'!M:M,1,FALSE),"")</f>
        <v/>
      </c>
      <c r="M118" s="33" t="str">
        <f>IF('Comptage Décadaire'!N119&lt;&gt;"",VLOOKUP('Comptage Décadaire'!N119,Utilisateurs!$D:$F,3,FALSE),"")</f>
        <v/>
      </c>
      <c r="N118" s="33" t="str">
        <f>IF('Comptage Décadaire'!O119&lt;&gt;"",VLOOKUP('Comptage Décadaire'!O119,Utilisateurs!$D:$F,3,FALSE),"")</f>
        <v/>
      </c>
      <c r="O118" s="33" t="str">
        <f>IF('Comptage Décadaire'!P119&lt;&gt;"",VLOOKUP('Comptage Décadaire'!P119,Utilisateurs!$D:$F,3,FALSE),"")</f>
        <v/>
      </c>
      <c r="P118" s="33" t="str">
        <f>IF('Comptage Décadaire'!Q119&lt;&gt;"",VLOOKUP('Comptage Décadaire'!Q119,Utilisateurs!$D:$F,3,FALSE),"")</f>
        <v/>
      </c>
      <c r="Q118" s="33" t="str">
        <f>IF('Comptage Décadaire'!R119&lt;&gt;"",VLOOKUP('Comptage Décadaire'!R119,Utilisateurs!$D:$F,3,FALSE),"")</f>
        <v/>
      </c>
      <c r="R118" s="30" t="str">
        <f>IF('Comptage Décadaire'!S119&lt;&gt;"",VLOOKUP('Comptage Décadaire'!S119,Nomenclature!$N:$O,2,FALSE),"")</f>
        <v/>
      </c>
      <c r="S118" s="30" t="str">
        <f>IF('Comptage Décadaire'!T119&lt;&gt;"",VLOOKUP('Comptage Décadaire'!T119,'Comptage Décadaire'!T:T,1,FALSE),"")</f>
        <v/>
      </c>
      <c r="T118" s="30" t="str">
        <f>IF('Comptage Décadaire'!U119&lt;&gt;"",VLOOKUP('Comptage Décadaire'!U119,'Comptage Décadaire'!U:U,1,FALSE),"")</f>
        <v/>
      </c>
      <c r="U118" s="30" t="str">
        <f>IF('Comptage Décadaire'!V119&lt;&gt;"",VLOOKUP('Comptage Décadaire'!V119,'Comptage Décadaire'!V:V,1,FALSE),"")</f>
        <v/>
      </c>
      <c r="V118" s="30" t="str">
        <f>IF('Comptage Décadaire'!W119&lt;&gt;"",VLOOKUP('Comptage Décadaire'!W119,'Comptage Décadaire'!W:W,1,FALSE),"")</f>
        <v/>
      </c>
      <c r="W118" s="30" t="str">
        <f>IF('Comptage Décadaire'!X119&lt;&gt;"",VLOOKUP('Comptage Décadaire'!X119,'Comptage Décadaire'!X:X,1,FALSE),"")</f>
        <v/>
      </c>
      <c r="X118" s="30" t="str">
        <f>IF('Comptage Décadaire'!Y119&lt;&gt;"",VLOOKUP('Comptage Décadaire'!Y119,'Comptage Décadaire'!Y:Y,1,FALSE),"")</f>
        <v/>
      </c>
      <c r="Y118" s="30" t="str">
        <f>IF('Comptage Décadaire'!Z119&lt;&gt;"",VLOOKUP('Comptage Décadaire'!Z119,Nomenclature!$F$2:$G$7,2,FALSE),"")</f>
        <v/>
      </c>
      <c r="Z118" s="30" t="str">
        <f>IF('Comptage Décadaire'!AA119&lt;&gt;"",VLOOKUP('Comptage Décadaire'!AA119,Nomenclature!$H$2:$I$31,2,FALSE),"")</f>
        <v/>
      </c>
      <c r="AA118" s="30" t="str">
        <f>IF('Comptage Décadaire'!AB119&lt;&gt;"",VLOOKUP('Comptage Décadaire'!AB119,Nomenclature!$J$2:$K$21,2,FALSE),"")</f>
        <v/>
      </c>
      <c r="AB118" s="30" t="str">
        <f>IF('Comptage Décadaire'!AC119&lt;&gt;"",VLOOKUP('Comptage Décadaire'!AC119,'Comptage Décadaire'!AC:AC,1,FALSE),"")</f>
        <v/>
      </c>
      <c r="AC118" s="32" t="str">
        <f>IF('Comptage Décadaire'!AD119&lt;&gt;"",VLOOKUP('Comptage Décadaire'!AD119,Nomenclature!$L$2:$M$8,2,FALSE),"")</f>
        <v/>
      </c>
      <c r="AD118" s="32" t="str">
        <f>IF('Comptage Décadaire'!AE119&lt;&gt;"",VLOOKUP('Comptage Décadaire'!AE119,Utilisateurs!$D$2:$F$81,3,FALSE),"")</f>
        <v/>
      </c>
      <c r="AE118" s="35" t="str">
        <f>IF('Comptage Décadaire'!AF119&lt;&gt;"",VLOOKUP('Comptage Décadaire'!AF119,'Comptage Décadaire'!AF:AF,1,FALSE),"")</f>
        <v/>
      </c>
      <c r="AF118" s="32" t="str">
        <f>IF('Comptage Décadaire'!AG119&lt;&gt;"",VLOOKUP('Comptage Décadaire'!AG119,'Comptage Décadaire'!AG:AG,1,FALSE),"")</f>
        <v/>
      </c>
    </row>
    <row r="119" spans="1:32" x14ac:dyDescent="0.25">
      <c r="A119" s="25" t="str">
        <f>IF('Comptage Décadaire'!A120&lt;&gt;"",VLOOKUP('Comptage Décadaire'!A120,'Comptage Décadaire'!A:A,1,FALSE),"")</f>
        <v/>
      </c>
      <c r="B119" s="27" t="str">
        <f>IF('Comptage Décadaire'!B120&lt;&gt;"",VLOOKUP('Comptage Décadaire'!B120,'Comptage Décadaire'!B:B,1,FALSE),"")</f>
        <v/>
      </c>
      <c r="C119" s="28" t="str">
        <f>IF('Comptage Décadaire'!C120&lt;&gt;"",VLOOKUP('Comptage Décadaire'!C120,'Comptage Décadaire'!C:C,1,FALSE),"")</f>
        <v/>
      </c>
      <c r="D119" s="29" t="str">
        <f>IF('Comptage Décadaire'!D120&lt;&gt;"",VLOOKUP('Comptage Décadaire'!D120,Sites!$A:$B,2,FALSE),"")</f>
        <v/>
      </c>
      <c r="E119" s="29" t="str">
        <f>IF('Comptage Décadaire'!E120&lt;&gt;"",VLOOKUP('Comptage Décadaire'!E120,'Comptage Décadaire'!E:E,1,FALSE),"")</f>
        <v/>
      </c>
      <c r="F119" s="29" t="str">
        <f>IF('Comptage Décadaire'!F120&lt;&gt;"",VLOOKUP('Comptage Décadaire'!F120,Nomenclature!$B$2:$C$4,2,FALSE),"")</f>
        <v/>
      </c>
      <c r="G119" s="29" t="str">
        <f>IF('Comptage Décadaire'!G120&lt;&gt;"",VLOOKUP('Comptage Décadaire'!G120,'Comptage Décadaire'!G:G,1,FALSE),"")</f>
        <v/>
      </c>
      <c r="H119" s="29" t="str">
        <f>IF('Comptage Décadaire'!H120&lt;&gt;"",VLOOKUP('Comptage Décadaire'!H120,Nomenclature!$D$2:$E$7,2,FALSE),"")</f>
        <v/>
      </c>
      <c r="I119" s="30" t="str">
        <f>IF('Comptage Décadaire'!J120&lt;&gt;"",VLOOKUP('Comptage Décadaire'!J120,'Comptage Décadaire'!J:J,1,FALSE),"")</f>
        <v/>
      </c>
      <c r="J119" s="30" t="str">
        <f>IF('Comptage Décadaire'!K120&lt;&gt;"",VLOOKUP('Comptage Décadaire'!K120,'Comptage Décadaire'!K:K,1,FALSE),"")</f>
        <v/>
      </c>
      <c r="K119" s="30" t="str">
        <f>IF('Comptage Décadaire'!L120&lt;&gt;"",VLOOKUP('Comptage Décadaire'!L120,'Comptage Décadaire'!L:L,1,FALSE),"")</f>
        <v/>
      </c>
      <c r="L119" s="31" t="str">
        <f>IF('Comptage Décadaire'!M120&lt;&gt;"",VLOOKUP('Comptage Décadaire'!M120,'Comptage Décadaire'!M:M,1,FALSE),"")</f>
        <v/>
      </c>
      <c r="M119" s="33" t="str">
        <f>IF('Comptage Décadaire'!N120&lt;&gt;"",VLOOKUP('Comptage Décadaire'!N120,Utilisateurs!$D:$F,3,FALSE),"")</f>
        <v/>
      </c>
      <c r="N119" s="33" t="str">
        <f>IF('Comptage Décadaire'!O120&lt;&gt;"",VLOOKUP('Comptage Décadaire'!O120,Utilisateurs!$D:$F,3,FALSE),"")</f>
        <v/>
      </c>
      <c r="O119" s="33" t="str">
        <f>IF('Comptage Décadaire'!P120&lt;&gt;"",VLOOKUP('Comptage Décadaire'!P120,Utilisateurs!$D:$F,3,FALSE),"")</f>
        <v/>
      </c>
      <c r="P119" s="33" t="str">
        <f>IF('Comptage Décadaire'!Q120&lt;&gt;"",VLOOKUP('Comptage Décadaire'!Q120,Utilisateurs!$D:$F,3,FALSE),"")</f>
        <v/>
      </c>
      <c r="Q119" s="33" t="str">
        <f>IF('Comptage Décadaire'!R120&lt;&gt;"",VLOOKUP('Comptage Décadaire'!R120,Utilisateurs!$D:$F,3,FALSE),"")</f>
        <v/>
      </c>
      <c r="R119" s="30" t="str">
        <f>IF('Comptage Décadaire'!S120&lt;&gt;"",VLOOKUP('Comptage Décadaire'!S120,Nomenclature!$N:$O,2,FALSE),"")</f>
        <v/>
      </c>
      <c r="S119" s="30" t="str">
        <f>IF('Comptage Décadaire'!T120&lt;&gt;"",VLOOKUP('Comptage Décadaire'!T120,'Comptage Décadaire'!T:T,1,FALSE),"")</f>
        <v/>
      </c>
      <c r="T119" s="30" t="str">
        <f>IF('Comptage Décadaire'!U120&lt;&gt;"",VLOOKUP('Comptage Décadaire'!U120,'Comptage Décadaire'!U:U,1,FALSE),"")</f>
        <v/>
      </c>
      <c r="U119" s="30" t="str">
        <f>IF('Comptage Décadaire'!V120&lt;&gt;"",VLOOKUP('Comptage Décadaire'!V120,'Comptage Décadaire'!V:V,1,FALSE),"")</f>
        <v/>
      </c>
      <c r="V119" s="30" t="str">
        <f>IF('Comptage Décadaire'!W120&lt;&gt;"",VLOOKUP('Comptage Décadaire'!W120,'Comptage Décadaire'!W:W,1,FALSE),"")</f>
        <v/>
      </c>
      <c r="W119" s="30" t="str">
        <f>IF('Comptage Décadaire'!X120&lt;&gt;"",VLOOKUP('Comptage Décadaire'!X120,'Comptage Décadaire'!X:X,1,FALSE),"")</f>
        <v/>
      </c>
      <c r="X119" s="30" t="str">
        <f>IF('Comptage Décadaire'!Y120&lt;&gt;"",VLOOKUP('Comptage Décadaire'!Y120,'Comptage Décadaire'!Y:Y,1,FALSE),"")</f>
        <v/>
      </c>
      <c r="Y119" s="30" t="str">
        <f>IF('Comptage Décadaire'!Z120&lt;&gt;"",VLOOKUP('Comptage Décadaire'!Z120,Nomenclature!$F$2:$G$7,2,FALSE),"")</f>
        <v/>
      </c>
      <c r="Z119" s="30" t="str">
        <f>IF('Comptage Décadaire'!AA120&lt;&gt;"",VLOOKUP('Comptage Décadaire'!AA120,Nomenclature!$H$2:$I$31,2,FALSE),"")</f>
        <v/>
      </c>
      <c r="AA119" s="30" t="str">
        <f>IF('Comptage Décadaire'!AB120&lt;&gt;"",VLOOKUP('Comptage Décadaire'!AB120,Nomenclature!$J$2:$K$21,2,FALSE),"")</f>
        <v/>
      </c>
      <c r="AB119" s="30" t="str">
        <f>IF('Comptage Décadaire'!AC120&lt;&gt;"",VLOOKUP('Comptage Décadaire'!AC120,'Comptage Décadaire'!AC:AC,1,FALSE),"")</f>
        <v/>
      </c>
      <c r="AC119" s="32" t="str">
        <f>IF('Comptage Décadaire'!AD120&lt;&gt;"",VLOOKUP('Comptage Décadaire'!AD120,Nomenclature!$L$2:$M$8,2,FALSE),"")</f>
        <v/>
      </c>
      <c r="AD119" s="32" t="str">
        <f>IF('Comptage Décadaire'!AE120&lt;&gt;"",VLOOKUP('Comptage Décadaire'!AE120,Utilisateurs!$D$2:$F$81,3,FALSE),"")</f>
        <v/>
      </c>
      <c r="AE119" s="35" t="str">
        <f>IF('Comptage Décadaire'!AF120&lt;&gt;"",VLOOKUP('Comptage Décadaire'!AF120,'Comptage Décadaire'!AF:AF,1,FALSE),"")</f>
        <v/>
      </c>
      <c r="AF119" s="32" t="str">
        <f>IF('Comptage Décadaire'!AG120&lt;&gt;"",VLOOKUP('Comptage Décadaire'!AG120,'Comptage Décadaire'!AG:AG,1,FALSE),"")</f>
        <v/>
      </c>
    </row>
    <row r="120" spans="1:32" x14ac:dyDescent="0.25">
      <c r="A120" s="25" t="str">
        <f>IF('Comptage Décadaire'!A121&lt;&gt;"",VLOOKUP('Comptage Décadaire'!A121,'Comptage Décadaire'!A:A,1,FALSE),"")</f>
        <v/>
      </c>
      <c r="B120" s="27" t="str">
        <f>IF('Comptage Décadaire'!B121&lt;&gt;"",VLOOKUP('Comptage Décadaire'!B121,'Comptage Décadaire'!B:B,1,FALSE),"")</f>
        <v/>
      </c>
      <c r="C120" s="28" t="str">
        <f>IF('Comptage Décadaire'!C121&lt;&gt;"",VLOOKUP('Comptage Décadaire'!C121,'Comptage Décadaire'!C:C,1,FALSE),"")</f>
        <v/>
      </c>
      <c r="D120" s="29" t="str">
        <f>IF('Comptage Décadaire'!D121&lt;&gt;"",VLOOKUP('Comptage Décadaire'!D121,Sites!$A:$B,2,FALSE),"")</f>
        <v/>
      </c>
      <c r="E120" s="29" t="str">
        <f>IF('Comptage Décadaire'!E121&lt;&gt;"",VLOOKUP('Comptage Décadaire'!E121,'Comptage Décadaire'!E:E,1,FALSE),"")</f>
        <v/>
      </c>
      <c r="F120" s="29" t="str">
        <f>IF('Comptage Décadaire'!F121&lt;&gt;"",VLOOKUP('Comptage Décadaire'!F121,Nomenclature!$B$2:$C$4,2,FALSE),"")</f>
        <v/>
      </c>
      <c r="G120" s="29" t="str">
        <f>IF('Comptage Décadaire'!G121&lt;&gt;"",VLOOKUP('Comptage Décadaire'!G121,'Comptage Décadaire'!G:G,1,FALSE),"")</f>
        <v/>
      </c>
      <c r="H120" s="29" t="str">
        <f>IF('Comptage Décadaire'!H121&lt;&gt;"",VLOOKUP('Comptage Décadaire'!H121,Nomenclature!$D$2:$E$7,2,FALSE),"")</f>
        <v/>
      </c>
      <c r="I120" s="30" t="str">
        <f>IF('Comptage Décadaire'!J121&lt;&gt;"",VLOOKUP('Comptage Décadaire'!J121,'Comptage Décadaire'!J:J,1,FALSE),"")</f>
        <v/>
      </c>
      <c r="J120" s="30" t="str">
        <f>IF('Comptage Décadaire'!K121&lt;&gt;"",VLOOKUP('Comptage Décadaire'!K121,'Comptage Décadaire'!K:K,1,FALSE),"")</f>
        <v/>
      </c>
      <c r="K120" s="30" t="str">
        <f>IF('Comptage Décadaire'!L121&lt;&gt;"",VLOOKUP('Comptage Décadaire'!L121,'Comptage Décadaire'!L:L,1,FALSE),"")</f>
        <v/>
      </c>
      <c r="L120" s="31" t="str">
        <f>IF('Comptage Décadaire'!M121&lt;&gt;"",VLOOKUP('Comptage Décadaire'!M121,'Comptage Décadaire'!M:M,1,FALSE),"")</f>
        <v/>
      </c>
      <c r="M120" s="33" t="str">
        <f>IF('Comptage Décadaire'!N121&lt;&gt;"",VLOOKUP('Comptage Décadaire'!N121,Utilisateurs!$D:$F,3,FALSE),"")</f>
        <v/>
      </c>
      <c r="N120" s="33" t="str">
        <f>IF('Comptage Décadaire'!O121&lt;&gt;"",VLOOKUP('Comptage Décadaire'!O121,Utilisateurs!$D:$F,3,FALSE),"")</f>
        <v/>
      </c>
      <c r="O120" s="33" t="str">
        <f>IF('Comptage Décadaire'!P121&lt;&gt;"",VLOOKUP('Comptage Décadaire'!P121,Utilisateurs!$D:$F,3,FALSE),"")</f>
        <v/>
      </c>
      <c r="P120" s="33" t="str">
        <f>IF('Comptage Décadaire'!Q121&lt;&gt;"",VLOOKUP('Comptage Décadaire'!Q121,Utilisateurs!$D:$F,3,FALSE),"")</f>
        <v/>
      </c>
      <c r="Q120" s="33" t="str">
        <f>IF('Comptage Décadaire'!R121&lt;&gt;"",VLOOKUP('Comptage Décadaire'!R121,Utilisateurs!$D:$F,3,FALSE),"")</f>
        <v/>
      </c>
      <c r="R120" s="30" t="str">
        <f>IF('Comptage Décadaire'!S121&lt;&gt;"",VLOOKUP('Comptage Décadaire'!S121,Nomenclature!$N:$O,2,FALSE),"")</f>
        <v/>
      </c>
      <c r="S120" s="30" t="str">
        <f>IF('Comptage Décadaire'!T121&lt;&gt;"",VLOOKUP('Comptage Décadaire'!T121,'Comptage Décadaire'!T:T,1,FALSE),"")</f>
        <v/>
      </c>
      <c r="T120" s="30" t="str">
        <f>IF('Comptage Décadaire'!U121&lt;&gt;"",VLOOKUP('Comptage Décadaire'!U121,'Comptage Décadaire'!U:U,1,FALSE),"")</f>
        <v/>
      </c>
      <c r="U120" s="30" t="str">
        <f>IF('Comptage Décadaire'!V121&lt;&gt;"",VLOOKUP('Comptage Décadaire'!V121,'Comptage Décadaire'!V:V,1,FALSE),"")</f>
        <v/>
      </c>
      <c r="V120" s="30" t="str">
        <f>IF('Comptage Décadaire'!W121&lt;&gt;"",VLOOKUP('Comptage Décadaire'!W121,'Comptage Décadaire'!W:W,1,FALSE),"")</f>
        <v/>
      </c>
      <c r="W120" s="30" t="str">
        <f>IF('Comptage Décadaire'!X121&lt;&gt;"",VLOOKUP('Comptage Décadaire'!X121,'Comptage Décadaire'!X:X,1,FALSE),"")</f>
        <v/>
      </c>
      <c r="X120" s="30" t="str">
        <f>IF('Comptage Décadaire'!Y121&lt;&gt;"",VLOOKUP('Comptage Décadaire'!Y121,'Comptage Décadaire'!Y:Y,1,FALSE),"")</f>
        <v/>
      </c>
      <c r="Y120" s="30" t="str">
        <f>IF('Comptage Décadaire'!Z121&lt;&gt;"",VLOOKUP('Comptage Décadaire'!Z121,Nomenclature!$F$2:$G$7,2,FALSE),"")</f>
        <v/>
      </c>
      <c r="Z120" s="30" t="str">
        <f>IF('Comptage Décadaire'!AA121&lt;&gt;"",VLOOKUP('Comptage Décadaire'!AA121,Nomenclature!$H$2:$I$31,2,FALSE),"")</f>
        <v/>
      </c>
      <c r="AA120" s="30" t="str">
        <f>IF('Comptage Décadaire'!AB121&lt;&gt;"",VLOOKUP('Comptage Décadaire'!AB121,Nomenclature!$J$2:$K$21,2,FALSE),"")</f>
        <v/>
      </c>
      <c r="AB120" s="30" t="str">
        <f>IF('Comptage Décadaire'!AC121&lt;&gt;"",VLOOKUP('Comptage Décadaire'!AC121,'Comptage Décadaire'!AC:AC,1,FALSE),"")</f>
        <v/>
      </c>
      <c r="AC120" s="32" t="str">
        <f>IF('Comptage Décadaire'!AD121&lt;&gt;"",VLOOKUP('Comptage Décadaire'!AD121,Nomenclature!$L$2:$M$8,2,FALSE),"")</f>
        <v/>
      </c>
      <c r="AD120" s="32" t="str">
        <f>IF('Comptage Décadaire'!AE121&lt;&gt;"",VLOOKUP('Comptage Décadaire'!AE121,Utilisateurs!$D$2:$F$81,3,FALSE),"")</f>
        <v/>
      </c>
      <c r="AE120" s="35" t="str">
        <f>IF('Comptage Décadaire'!AF121&lt;&gt;"",VLOOKUP('Comptage Décadaire'!AF121,'Comptage Décadaire'!AF:AF,1,FALSE),"")</f>
        <v/>
      </c>
      <c r="AF120" s="32" t="str">
        <f>IF('Comptage Décadaire'!AG121&lt;&gt;"",VLOOKUP('Comptage Décadaire'!AG121,'Comptage Décadaire'!AG:AG,1,FALSE),"")</f>
        <v/>
      </c>
    </row>
    <row r="121" spans="1:32" x14ac:dyDescent="0.25">
      <c r="A121" s="25" t="str">
        <f>IF('Comptage Décadaire'!A122&lt;&gt;"",VLOOKUP('Comptage Décadaire'!A122,'Comptage Décadaire'!A:A,1,FALSE),"")</f>
        <v/>
      </c>
      <c r="B121" s="27" t="str">
        <f>IF('Comptage Décadaire'!B122&lt;&gt;"",VLOOKUP('Comptage Décadaire'!B122,'Comptage Décadaire'!B:B,1,FALSE),"")</f>
        <v/>
      </c>
      <c r="C121" s="28" t="str">
        <f>IF('Comptage Décadaire'!C122&lt;&gt;"",VLOOKUP('Comptage Décadaire'!C122,'Comptage Décadaire'!C:C,1,FALSE),"")</f>
        <v/>
      </c>
      <c r="D121" s="29" t="str">
        <f>IF('Comptage Décadaire'!D122&lt;&gt;"",VLOOKUP('Comptage Décadaire'!D122,Sites!$A:$B,2,FALSE),"")</f>
        <v/>
      </c>
      <c r="E121" s="29" t="str">
        <f>IF('Comptage Décadaire'!E122&lt;&gt;"",VLOOKUP('Comptage Décadaire'!E122,'Comptage Décadaire'!E:E,1,FALSE),"")</f>
        <v/>
      </c>
      <c r="F121" s="29" t="str">
        <f>IF('Comptage Décadaire'!F122&lt;&gt;"",VLOOKUP('Comptage Décadaire'!F122,Nomenclature!$B$2:$C$4,2,FALSE),"")</f>
        <v/>
      </c>
      <c r="G121" s="29" t="str">
        <f>IF('Comptage Décadaire'!G122&lt;&gt;"",VLOOKUP('Comptage Décadaire'!G122,'Comptage Décadaire'!G:G,1,FALSE),"")</f>
        <v/>
      </c>
      <c r="H121" s="29" t="str">
        <f>IF('Comptage Décadaire'!H122&lt;&gt;"",VLOOKUP('Comptage Décadaire'!H122,Nomenclature!$D$2:$E$7,2,FALSE),"")</f>
        <v/>
      </c>
      <c r="I121" s="30" t="str">
        <f>IF('Comptage Décadaire'!J122&lt;&gt;"",VLOOKUP('Comptage Décadaire'!J122,'Comptage Décadaire'!J:J,1,FALSE),"")</f>
        <v/>
      </c>
      <c r="J121" s="30" t="str">
        <f>IF('Comptage Décadaire'!K122&lt;&gt;"",VLOOKUP('Comptage Décadaire'!K122,'Comptage Décadaire'!K:K,1,FALSE),"")</f>
        <v/>
      </c>
      <c r="K121" s="30" t="str">
        <f>IF('Comptage Décadaire'!L122&lt;&gt;"",VLOOKUP('Comptage Décadaire'!L122,'Comptage Décadaire'!L:L,1,FALSE),"")</f>
        <v/>
      </c>
      <c r="L121" s="31" t="str">
        <f>IF('Comptage Décadaire'!M122&lt;&gt;"",VLOOKUP('Comptage Décadaire'!M122,'Comptage Décadaire'!M:M,1,FALSE),"")</f>
        <v/>
      </c>
      <c r="M121" s="33" t="str">
        <f>IF('Comptage Décadaire'!N122&lt;&gt;"",VLOOKUP('Comptage Décadaire'!N122,Utilisateurs!$D:$F,3,FALSE),"")</f>
        <v/>
      </c>
      <c r="N121" s="33" t="str">
        <f>IF('Comptage Décadaire'!O122&lt;&gt;"",VLOOKUP('Comptage Décadaire'!O122,Utilisateurs!$D:$F,3,FALSE),"")</f>
        <v/>
      </c>
      <c r="O121" s="33" t="str">
        <f>IF('Comptage Décadaire'!P122&lt;&gt;"",VLOOKUP('Comptage Décadaire'!P122,Utilisateurs!$D:$F,3,FALSE),"")</f>
        <v/>
      </c>
      <c r="P121" s="33" t="str">
        <f>IF('Comptage Décadaire'!Q122&lt;&gt;"",VLOOKUP('Comptage Décadaire'!Q122,Utilisateurs!$D:$F,3,FALSE),"")</f>
        <v/>
      </c>
      <c r="Q121" s="33" t="str">
        <f>IF('Comptage Décadaire'!R122&lt;&gt;"",VLOOKUP('Comptage Décadaire'!R122,Utilisateurs!$D:$F,3,FALSE),"")</f>
        <v/>
      </c>
      <c r="R121" s="30" t="str">
        <f>IF('Comptage Décadaire'!S122&lt;&gt;"",VLOOKUP('Comptage Décadaire'!S122,Nomenclature!$N:$O,2,FALSE),"")</f>
        <v/>
      </c>
      <c r="S121" s="30" t="str">
        <f>IF('Comptage Décadaire'!T122&lt;&gt;"",VLOOKUP('Comptage Décadaire'!T122,'Comptage Décadaire'!T:T,1,FALSE),"")</f>
        <v/>
      </c>
      <c r="T121" s="30" t="str">
        <f>IF('Comptage Décadaire'!U122&lt;&gt;"",VLOOKUP('Comptage Décadaire'!U122,'Comptage Décadaire'!U:U,1,FALSE),"")</f>
        <v/>
      </c>
      <c r="U121" s="30" t="str">
        <f>IF('Comptage Décadaire'!V122&lt;&gt;"",VLOOKUP('Comptage Décadaire'!V122,'Comptage Décadaire'!V:V,1,FALSE),"")</f>
        <v/>
      </c>
      <c r="V121" s="30" t="str">
        <f>IF('Comptage Décadaire'!W122&lt;&gt;"",VLOOKUP('Comptage Décadaire'!W122,'Comptage Décadaire'!W:W,1,FALSE),"")</f>
        <v/>
      </c>
      <c r="W121" s="30" t="str">
        <f>IF('Comptage Décadaire'!X122&lt;&gt;"",VLOOKUP('Comptage Décadaire'!X122,'Comptage Décadaire'!X:X,1,FALSE),"")</f>
        <v/>
      </c>
      <c r="X121" s="30" t="str">
        <f>IF('Comptage Décadaire'!Y122&lt;&gt;"",VLOOKUP('Comptage Décadaire'!Y122,'Comptage Décadaire'!Y:Y,1,FALSE),"")</f>
        <v/>
      </c>
      <c r="Y121" s="30" t="str">
        <f>IF('Comptage Décadaire'!Z122&lt;&gt;"",VLOOKUP('Comptage Décadaire'!Z122,Nomenclature!$F$2:$G$7,2,FALSE),"")</f>
        <v/>
      </c>
      <c r="Z121" s="30" t="str">
        <f>IF('Comptage Décadaire'!AA122&lt;&gt;"",VLOOKUP('Comptage Décadaire'!AA122,Nomenclature!$H$2:$I$31,2,FALSE),"")</f>
        <v/>
      </c>
      <c r="AA121" s="30" t="str">
        <f>IF('Comptage Décadaire'!AB122&lt;&gt;"",VLOOKUP('Comptage Décadaire'!AB122,Nomenclature!$J$2:$K$21,2,FALSE),"")</f>
        <v/>
      </c>
      <c r="AB121" s="30" t="str">
        <f>IF('Comptage Décadaire'!AC122&lt;&gt;"",VLOOKUP('Comptage Décadaire'!AC122,'Comptage Décadaire'!AC:AC,1,FALSE),"")</f>
        <v/>
      </c>
      <c r="AC121" s="32" t="str">
        <f>IF('Comptage Décadaire'!AD122&lt;&gt;"",VLOOKUP('Comptage Décadaire'!AD122,Nomenclature!$L$2:$M$8,2,FALSE),"")</f>
        <v/>
      </c>
      <c r="AD121" s="32" t="str">
        <f>IF('Comptage Décadaire'!AE122&lt;&gt;"",VLOOKUP('Comptage Décadaire'!AE122,Utilisateurs!$D$2:$F$81,3,FALSE),"")</f>
        <v/>
      </c>
      <c r="AE121" s="35" t="str">
        <f>IF('Comptage Décadaire'!AF122&lt;&gt;"",VLOOKUP('Comptage Décadaire'!AF122,'Comptage Décadaire'!AF:AF,1,FALSE),"")</f>
        <v/>
      </c>
      <c r="AF121" s="32" t="str">
        <f>IF('Comptage Décadaire'!AG122&lt;&gt;"",VLOOKUP('Comptage Décadaire'!AG122,'Comptage Décadaire'!AG:AG,1,FALSE),"")</f>
        <v/>
      </c>
    </row>
    <row r="122" spans="1:32" x14ac:dyDescent="0.25">
      <c r="A122" s="25" t="str">
        <f>IF('Comptage Décadaire'!A123&lt;&gt;"",VLOOKUP('Comptage Décadaire'!A123,'Comptage Décadaire'!A:A,1,FALSE),"")</f>
        <v/>
      </c>
      <c r="B122" s="27" t="str">
        <f>IF('Comptage Décadaire'!B123&lt;&gt;"",VLOOKUP('Comptage Décadaire'!B123,'Comptage Décadaire'!B:B,1,FALSE),"")</f>
        <v/>
      </c>
      <c r="C122" s="28" t="str">
        <f>IF('Comptage Décadaire'!C123&lt;&gt;"",VLOOKUP('Comptage Décadaire'!C123,'Comptage Décadaire'!C:C,1,FALSE),"")</f>
        <v/>
      </c>
      <c r="D122" s="29" t="str">
        <f>IF('Comptage Décadaire'!D123&lt;&gt;"",VLOOKUP('Comptage Décadaire'!D123,Sites!$A:$B,2,FALSE),"")</f>
        <v/>
      </c>
      <c r="E122" s="29" t="str">
        <f>IF('Comptage Décadaire'!E123&lt;&gt;"",VLOOKUP('Comptage Décadaire'!E123,'Comptage Décadaire'!E:E,1,FALSE),"")</f>
        <v/>
      </c>
      <c r="F122" s="29" t="str">
        <f>IF('Comptage Décadaire'!F123&lt;&gt;"",VLOOKUP('Comptage Décadaire'!F123,Nomenclature!$B$2:$C$4,2,FALSE),"")</f>
        <v/>
      </c>
      <c r="G122" s="29" t="str">
        <f>IF('Comptage Décadaire'!G123&lt;&gt;"",VLOOKUP('Comptage Décadaire'!G123,'Comptage Décadaire'!G:G,1,FALSE),"")</f>
        <v/>
      </c>
      <c r="H122" s="29" t="str">
        <f>IF('Comptage Décadaire'!H123&lt;&gt;"",VLOOKUP('Comptage Décadaire'!H123,Nomenclature!$D$2:$E$7,2,FALSE),"")</f>
        <v/>
      </c>
      <c r="I122" s="30" t="str">
        <f>IF('Comptage Décadaire'!J123&lt;&gt;"",VLOOKUP('Comptage Décadaire'!J123,'Comptage Décadaire'!J:J,1,FALSE),"")</f>
        <v/>
      </c>
      <c r="J122" s="30" t="str">
        <f>IF('Comptage Décadaire'!K123&lt;&gt;"",VLOOKUP('Comptage Décadaire'!K123,'Comptage Décadaire'!K:K,1,FALSE),"")</f>
        <v/>
      </c>
      <c r="K122" s="30" t="str">
        <f>IF('Comptage Décadaire'!L123&lt;&gt;"",VLOOKUP('Comptage Décadaire'!L123,'Comptage Décadaire'!L:L,1,FALSE),"")</f>
        <v/>
      </c>
      <c r="L122" s="31" t="str">
        <f>IF('Comptage Décadaire'!M123&lt;&gt;"",VLOOKUP('Comptage Décadaire'!M123,'Comptage Décadaire'!M:M,1,FALSE),"")</f>
        <v/>
      </c>
      <c r="M122" s="33" t="str">
        <f>IF('Comptage Décadaire'!N123&lt;&gt;"",VLOOKUP('Comptage Décadaire'!N123,Utilisateurs!$D:$F,3,FALSE),"")</f>
        <v/>
      </c>
      <c r="N122" s="33" t="str">
        <f>IF('Comptage Décadaire'!O123&lt;&gt;"",VLOOKUP('Comptage Décadaire'!O123,Utilisateurs!$D:$F,3,FALSE),"")</f>
        <v/>
      </c>
      <c r="O122" s="33" t="str">
        <f>IF('Comptage Décadaire'!P123&lt;&gt;"",VLOOKUP('Comptage Décadaire'!P123,Utilisateurs!$D:$F,3,FALSE),"")</f>
        <v/>
      </c>
      <c r="P122" s="33" t="str">
        <f>IF('Comptage Décadaire'!Q123&lt;&gt;"",VLOOKUP('Comptage Décadaire'!Q123,Utilisateurs!$D:$F,3,FALSE),"")</f>
        <v/>
      </c>
      <c r="Q122" s="33" t="str">
        <f>IF('Comptage Décadaire'!R123&lt;&gt;"",VLOOKUP('Comptage Décadaire'!R123,Utilisateurs!$D:$F,3,FALSE),"")</f>
        <v/>
      </c>
      <c r="R122" s="30" t="str">
        <f>IF('Comptage Décadaire'!S123&lt;&gt;"",VLOOKUP('Comptage Décadaire'!S123,Nomenclature!$N:$O,2,FALSE),"")</f>
        <v/>
      </c>
      <c r="S122" s="30" t="str">
        <f>IF('Comptage Décadaire'!T123&lt;&gt;"",VLOOKUP('Comptage Décadaire'!T123,'Comptage Décadaire'!T:T,1,FALSE),"")</f>
        <v/>
      </c>
      <c r="T122" s="30" t="str">
        <f>IF('Comptage Décadaire'!U123&lt;&gt;"",VLOOKUP('Comptage Décadaire'!U123,'Comptage Décadaire'!U:U,1,FALSE),"")</f>
        <v/>
      </c>
      <c r="U122" s="30" t="str">
        <f>IF('Comptage Décadaire'!V123&lt;&gt;"",VLOOKUP('Comptage Décadaire'!V123,'Comptage Décadaire'!V:V,1,FALSE),"")</f>
        <v/>
      </c>
      <c r="V122" s="30" t="str">
        <f>IF('Comptage Décadaire'!W123&lt;&gt;"",VLOOKUP('Comptage Décadaire'!W123,'Comptage Décadaire'!W:W,1,FALSE),"")</f>
        <v/>
      </c>
      <c r="W122" s="30" t="str">
        <f>IF('Comptage Décadaire'!X123&lt;&gt;"",VLOOKUP('Comptage Décadaire'!X123,'Comptage Décadaire'!X:X,1,FALSE),"")</f>
        <v/>
      </c>
      <c r="X122" s="30" t="str">
        <f>IF('Comptage Décadaire'!Y123&lt;&gt;"",VLOOKUP('Comptage Décadaire'!Y123,'Comptage Décadaire'!Y:Y,1,FALSE),"")</f>
        <v/>
      </c>
      <c r="Y122" s="30" t="str">
        <f>IF('Comptage Décadaire'!Z123&lt;&gt;"",VLOOKUP('Comptage Décadaire'!Z123,Nomenclature!$F$2:$G$7,2,FALSE),"")</f>
        <v/>
      </c>
      <c r="Z122" s="30" t="str">
        <f>IF('Comptage Décadaire'!AA123&lt;&gt;"",VLOOKUP('Comptage Décadaire'!AA123,Nomenclature!$H$2:$I$31,2,FALSE),"")</f>
        <v/>
      </c>
      <c r="AA122" s="30" t="str">
        <f>IF('Comptage Décadaire'!AB123&lt;&gt;"",VLOOKUP('Comptage Décadaire'!AB123,Nomenclature!$J$2:$K$21,2,FALSE),"")</f>
        <v/>
      </c>
      <c r="AB122" s="30" t="str">
        <f>IF('Comptage Décadaire'!AC123&lt;&gt;"",VLOOKUP('Comptage Décadaire'!AC123,'Comptage Décadaire'!AC:AC,1,FALSE),"")</f>
        <v/>
      </c>
      <c r="AC122" s="32" t="str">
        <f>IF('Comptage Décadaire'!AD123&lt;&gt;"",VLOOKUP('Comptage Décadaire'!AD123,Nomenclature!$L$2:$M$8,2,FALSE),"")</f>
        <v/>
      </c>
      <c r="AD122" s="32" t="str">
        <f>IF('Comptage Décadaire'!AE123&lt;&gt;"",VLOOKUP('Comptage Décadaire'!AE123,Utilisateurs!$D$2:$F$81,3,FALSE),"")</f>
        <v/>
      </c>
      <c r="AE122" s="35" t="str">
        <f>IF('Comptage Décadaire'!AF123&lt;&gt;"",VLOOKUP('Comptage Décadaire'!AF123,'Comptage Décadaire'!AF:AF,1,FALSE),"")</f>
        <v/>
      </c>
      <c r="AF122" s="32" t="str">
        <f>IF('Comptage Décadaire'!AG123&lt;&gt;"",VLOOKUP('Comptage Décadaire'!AG123,'Comptage Décadaire'!AG:AG,1,FALSE),"")</f>
        <v/>
      </c>
    </row>
    <row r="123" spans="1:32" x14ac:dyDescent="0.25">
      <c r="A123" s="25" t="str">
        <f>IF('Comptage Décadaire'!A124&lt;&gt;"",VLOOKUP('Comptage Décadaire'!A124,'Comptage Décadaire'!A:A,1,FALSE),"")</f>
        <v/>
      </c>
      <c r="B123" s="27" t="str">
        <f>IF('Comptage Décadaire'!B124&lt;&gt;"",VLOOKUP('Comptage Décadaire'!B124,'Comptage Décadaire'!B:B,1,FALSE),"")</f>
        <v/>
      </c>
      <c r="C123" s="28" t="str">
        <f>IF('Comptage Décadaire'!C124&lt;&gt;"",VLOOKUP('Comptage Décadaire'!C124,'Comptage Décadaire'!C:C,1,FALSE),"")</f>
        <v/>
      </c>
      <c r="D123" s="29" t="str">
        <f>IF('Comptage Décadaire'!D124&lt;&gt;"",VLOOKUP('Comptage Décadaire'!D124,Sites!$A:$B,2,FALSE),"")</f>
        <v/>
      </c>
      <c r="E123" s="29" t="str">
        <f>IF('Comptage Décadaire'!E124&lt;&gt;"",VLOOKUP('Comptage Décadaire'!E124,'Comptage Décadaire'!E:E,1,FALSE),"")</f>
        <v/>
      </c>
      <c r="F123" s="29" t="str">
        <f>IF('Comptage Décadaire'!F124&lt;&gt;"",VLOOKUP('Comptage Décadaire'!F124,Nomenclature!$B$2:$C$4,2,FALSE),"")</f>
        <v/>
      </c>
      <c r="G123" s="29" t="str">
        <f>IF('Comptage Décadaire'!G124&lt;&gt;"",VLOOKUP('Comptage Décadaire'!G124,'Comptage Décadaire'!G:G,1,FALSE),"")</f>
        <v/>
      </c>
      <c r="H123" s="29" t="str">
        <f>IF('Comptage Décadaire'!H124&lt;&gt;"",VLOOKUP('Comptage Décadaire'!H124,Nomenclature!$D$2:$E$7,2,FALSE),"")</f>
        <v/>
      </c>
      <c r="I123" s="30" t="str">
        <f>IF('Comptage Décadaire'!J124&lt;&gt;"",VLOOKUP('Comptage Décadaire'!J124,'Comptage Décadaire'!J:J,1,FALSE),"")</f>
        <v/>
      </c>
      <c r="J123" s="30" t="str">
        <f>IF('Comptage Décadaire'!K124&lt;&gt;"",VLOOKUP('Comptage Décadaire'!K124,'Comptage Décadaire'!K:K,1,FALSE),"")</f>
        <v/>
      </c>
      <c r="K123" s="30" t="str">
        <f>IF('Comptage Décadaire'!L124&lt;&gt;"",VLOOKUP('Comptage Décadaire'!L124,'Comptage Décadaire'!L:L,1,FALSE),"")</f>
        <v/>
      </c>
      <c r="L123" s="31" t="str">
        <f>IF('Comptage Décadaire'!M124&lt;&gt;"",VLOOKUP('Comptage Décadaire'!M124,'Comptage Décadaire'!M:M,1,FALSE),"")</f>
        <v/>
      </c>
      <c r="M123" s="33" t="str">
        <f>IF('Comptage Décadaire'!N124&lt;&gt;"",VLOOKUP('Comptage Décadaire'!N124,Utilisateurs!$D:$F,3,FALSE),"")</f>
        <v/>
      </c>
      <c r="N123" s="33" t="str">
        <f>IF('Comptage Décadaire'!O124&lt;&gt;"",VLOOKUP('Comptage Décadaire'!O124,Utilisateurs!$D:$F,3,FALSE),"")</f>
        <v/>
      </c>
      <c r="O123" s="33" t="str">
        <f>IF('Comptage Décadaire'!P124&lt;&gt;"",VLOOKUP('Comptage Décadaire'!P124,Utilisateurs!$D:$F,3,FALSE),"")</f>
        <v/>
      </c>
      <c r="P123" s="33" t="str">
        <f>IF('Comptage Décadaire'!Q124&lt;&gt;"",VLOOKUP('Comptage Décadaire'!Q124,Utilisateurs!$D:$F,3,FALSE),"")</f>
        <v/>
      </c>
      <c r="Q123" s="33" t="str">
        <f>IF('Comptage Décadaire'!R124&lt;&gt;"",VLOOKUP('Comptage Décadaire'!R124,Utilisateurs!$D:$F,3,FALSE),"")</f>
        <v/>
      </c>
      <c r="R123" s="30" t="str">
        <f>IF('Comptage Décadaire'!S124&lt;&gt;"",VLOOKUP('Comptage Décadaire'!S124,Nomenclature!$N:$O,2,FALSE),"")</f>
        <v/>
      </c>
      <c r="S123" s="30" t="str">
        <f>IF('Comptage Décadaire'!T124&lt;&gt;"",VLOOKUP('Comptage Décadaire'!T124,'Comptage Décadaire'!T:T,1,FALSE),"")</f>
        <v/>
      </c>
      <c r="T123" s="30" t="str">
        <f>IF('Comptage Décadaire'!U124&lt;&gt;"",VLOOKUP('Comptage Décadaire'!U124,'Comptage Décadaire'!U:U,1,FALSE),"")</f>
        <v/>
      </c>
      <c r="U123" s="30" t="str">
        <f>IF('Comptage Décadaire'!V124&lt;&gt;"",VLOOKUP('Comptage Décadaire'!V124,'Comptage Décadaire'!V:V,1,FALSE),"")</f>
        <v/>
      </c>
      <c r="V123" s="30" t="str">
        <f>IF('Comptage Décadaire'!W124&lt;&gt;"",VLOOKUP('Comptage Décadaire'!W124,'Comptage Décadaire'!W:W,1,FALSE),"")</f>
        <v/>
      </c>
      <c r="W123" s="30" t="str">
        <f>IF('Comptage Décadaire'!X124&lt;&gt;"",VLOOKUP('Comptage Décadaire'!X124,'Comptage Décadaire'!X:X,1,FALSE),"")</f>
        <v/>
      </c>
      <c r="X123" s="30" t="str">
        <f>IF('Comptage Décadaire'!Y124&lt;&gt;"",VLOOKUP('Comptage Décadaire'!Y124,'Comptage Décadaire'!Y:Y,1,FALSE),"")</f>
        <v/>
      </c>
      <c r="Y123" s="30" t="str">
        <f>IF('Comptage Décadaire'!Z124&lt;&gt;"",VLOOKUP('Comptage Décadaire'!Z124,Nomenclature!$F$2:$G$7,2,FALSE),"")</f>
        <v/>
      </c>
      <c r="Z123" s="30" t="str">
        <f>IF('Comptage Décadaire'!AA124&lt;&gt;"",VLOOKUP('Comptage Décadaire'!AA124,Nomenclature!$H$2:$I$31,2,FALSE),"")</f>
        <v/>
      </c>
      <c r="AA123" s="30" t="str">
        <f>IF('Comptage Décadaire'!AB124&lt;&gt;"",VLOOKUP('Comptage Décadaire'!AB124,Nomenclature!$J$2:$K$21,2,FALSE),"")</f>
        <v/>
      </c>
      <c r="AB123" s="30" t="str">
        <f>IF('Comptage Décadaire'!AC124&lt;&gt;"",VLOOKUP('Comptage Décadaire'!AC124,'Comptage Décadaire'!AC:AC,1,FALSE),"")</f>
        <v/>
      </c>
      <c r="AC123" s="32" t="str">
        <f>IF('Comptage Décadaire'!AD124&lt;&gt;"",VLOOKUP('Comptage Décadaire'!AD124,Nomenclature!$L$2:$M$8,2,FALSE),"")</f>
        <v/>
      </c>
      <c r="AD123" s="32" t="str">
        <f>IF('Comptage Décadaire'!AE124&lt;&gt;"",VLOOKUP('Comptage Décadaire'!AE124,Utilisateurs!$D$2:$F$81,3,FALSE),"")</f>
        <v/>
      </c>
      <c r="AE123" s="35" t="str">
        <f>IF('Comptage Décadaire'!AF124&lt;&gt;"",VLOOKUP('Comptage Décadaire'!AF124,'Comptage Décadaire'!AF:AF,1,FALSE),"")</f>
        <v/>
      </c>
      <c r="AF123" s="32" t="str">
        <f>IF('Comptage Décadaire'!AG124&lt;&gt;"",VLOOKUP('Comptage Décadaire'!AG124,'Comptage Décadaire'!AG:AG,1,FALSE),"")</f>
        <v/>
      </c>
    </row>
    <row r="124" spans="1:32" x14ac:dyDescent="0.25">
      <c r="A124" s="25" t="str">
        <f>IF('Comptage Décadaire'!A125&lt;&gt;"",VLOOKUP('Comptage Décadaire'!A125,'Comptage Décadaire'!A:A,1,FALSE),"")</f>
        <v/>
      </c>
      <c r="B124" s="27" t="str">
        <f>IF('Comptage Décadaire'!B125&lt;&gt;"",VLOOKUP('Comptage Décadaire'!B125,'Comptage Décadaire'!B:B,1,FALSE),"")</f>
        <v/>
      </c>
      <c r="C124" s="28" t="str">
        <f>IF('Comptage Décadaire'!C125&lt;&gt;"",VLOOKUP('Comptage Décadaire'!C125,'Comptage Décadaire'!C:C,1,FALSE),"")</f>
        <v/>
      </c>
      <c r="D124" s="29" t="str">
        <f>IF('Comptage Décadaire'!D125&lt;&gt;"",VLOOKUP('Comptage Décadaire'!D125,Sites!$A:$B,2,FALSE),"")</f>
        <v/>
      </c>
      <c r="E124" s="29" t="str">
        <f>IF('Comptage Décadaire'!E125&lt;&gt;"",VLOOKUP('Comptage Décadaire'!E125,'Comptage Décadaire'!E:E,1,FALSE),"")</f>
        <v/>
      </c>
      <c r="F124" s="29" t="str">
        <f>IF('Comptage Décadaire'!F125&lt;&gt;"",VLOOKUP('Comptage Décadaire'!F125,Nomenclature!$B$2:$C$4,2,FALSE),"")</f>
        <v/>
      </c>
      <c r="G124" s="29" t="str">
        <f>IF('Comptage Décadaire'!G125&lt;&gt;"",VLOOKUP('Comptage Décadaire'!G125,'Comptage Décadaire'!G:G,1,FALSE),"")</f>
        <v/>
      </c>
      <c r="H124" s="29" t="str">
        <f>IF('Comptage Décadaire'!H125&lt;&gt;"",VLOOKUP('Comptage Décadaire'!H125,Nomenclature!$D$2:$E$7,2,FALSE),"")</f>
        <v/>
      </c>
      <c r="I124" s="30" t="str">
        <f>IF('Comptage Décadaire'!J125&lt;&gt;"",VLOOKUP('Comptage Décadaire'!J125,'Comptage Décadaire'!J:J,1,FALSE),"")</f>
        <v/>
      </c>
      <c r="J124" s="30" t="str">
        <f>IF('Comptage Décadaire'!K125&lt;&gt;"",VLOOKUP('Comptage Décadaire'!K125,'Comptage Décadaire'!K:K,1,FALSE),"")</f>
        <v/>
      </c>
      <c r="K124" s="30" t="str">
        <f>IF('Comptage Décadaire'!L125&lt;&gt;"",VLOOKUP('Comptage Décadaire'!L125,'Comptage Décadaire'!L:L,1,FALSE),"")</f>
        <v/>
      </c>
      <c r="L124" s="31" t="str">
        <f>IF('Comptage Décadaire'!M125&lt;&gt;"",VLOOKUP('Comptage Décadaire'!M125,'Comptage Décadaire'!M:M,1,FALSE),"")</f>
        <v/>
      </c>
      <c r="M124" s="33" t="str">
        <f>IF('Comptage Décadaire'!N125&lt;&gt;"",VLOOKUP('Comptage Décadaire'!N125,Utilisateurs!$D:$F,3,FALSE),"")</f>
        <v/>
      </c>
      <c r="N124" s="33" t="str">
        <f>IF('Comptage Décadaire'!O125&lt;&gt;"",VLOOKUP('Comptage Décadaire'!O125,Utilisateurs!$D:$F,3,FALSE),"")</f>
        <v/>
      </c>
      <c r="O124" s="33" t="str">
        <f>IF('Comptage Décadaire'!P125&lt;&gt;"",VLOOKUP('Comptage Décadaire'!P125,Utilisateurs!$D:$F,3,FALSE),"")</f>
        <v/>
      </c>
      <c r="P124" s="33" t="str">
        <f>IF('Comptage Décadaire'!Q125&lt;&gt;"",VLOOKUP('Comptage Décadaire'!Q125,Utilisateurs!$D:$F,3,FALSE),"")</f>
        <v/>
      </c>
      <c r="Q124" s="33" t="str">
        <f>IF('Comptage Décadaire'!R125&lt;&gt;"",VLOOKUP('Comptage Décadaire'!R125,Utilisateurs!$D:$F,3,FALSE),"")</f>
        <v/>
      </c>
      <c r="R124" s="30" t="str">
        <f>IF('Comptage Décadaire'!S125&lt;&gt;"",VLOOKUP('Comptage Décadaire'!S125,Nomenclature!$N:$O,2,FALSE),"")</f>
        <v/>
      </c>
      <c r="S124" s="30" t="str">
        <f>IF('Comptage Décadaire'!T125&lt;&gt;"",VLOOKUP('Comptage Décadaire'!T125,'Comptage Décadaire'!T:T,1,FALSE),"")</f>
        <v/>
      </c>
      <c r="T124" s="30" t="str">
        <f>IF('Comptage Décadaire'!U125&lt;&gt;"",VLOOKUP('Comptage Décadaire'!U125,'Comptage Décadaire'!U:U,1,FALSE),"")</f>
        <v/>
      </c>
      <c r="U124" s="30" t="str">
        <f>IF('Comptage Décadaire'!V125&lt;&gt;"",VLOOKUP('Comptage Décadaire'!V125,'Comptage Décadaire'!V:V,1,FALSE),"")</f>
        <v/>
      </c>
      <c r="V124" s="30" t="str">
        <f>IF('Comptage Décadaire'!W125&lt;&gt;"",VLOOKUP('Comptage Décadaire'!W125,'Comptage Décadaire'!W:W,1,FALSE),"")</f>
        <v/>
      </c>
      <c r="W124" s="30" t="str">
        <f>IF('Comptage Décadaire'!X125&lt;&gt;"",VLOOKUP('Comptage Décadaire'!X125,'Comptage Décadaire'!X:X,1,FALSE),"")</f>
        <v/>
      </c>
      <c r="X124" s="30" t="str">
        <f>IF('Comptage Décadaire'!Y125&lt;&gt;"",VLOOKUP('Comptage Décadaire'!Y125,'Comptage Décadaire'!Y:Y,1,FALSE),"")</f>
        <v/>
      </c>
      <c r="Y124" s="30" t="str">
        <f>IF('Comptage Décadaire'!Z125&lt;&gt;"",VLOOKUP('Comptage Décadaire'!Z125,Nomenclature!$F$2:$G$7,2,FALSE),"")</f>
        <v/>
      </c>
      <c r="Z124" s="30" t="str">
        <f>IF('Comptage Décadaire'!AA125&lt;&gt;"",VLOOKUP('Comptage Décadaire'!AA125,Nomenclature!$H$2:$I$31,2,FALSE),"")</f>
        <v/>
      </c>
      <c r="AA124" s="30" t="str">
        <f>IF('Comptage Décadaire'!AB125&lt;&gt;"",VLOOKUP('Comptage Décadaire'!AB125,Nomenclature!$J$2:$K$21,2,FALSE),"")</f>
        <v/>
      </c>
      <c r="AB124" s="30" t="str">
        <f>IF('Comptage Décadaire'!AC125&lt;&gt;"",VLOOKUP('Comptage Décadaire'!AC125,'Comptage Décadaire'!AC:AC,1,FALSE),"")</f>
        <v/>
      </c>
      <c r="AC124" s="32" t="str">
        <f>IF('Comptage Décadaire'!AD125&lt;&gt;"",VLOOKUP('Comptage Décadaire'!AD125,Nomenclature!$L$2:$M$8,2,FALSE),"")</f>
        <v/>
      </c>
      <c r="AD124" s="32" t="str">
        <f>IF('Comptage Décadaire'!AE125&lt;&gt;"",VLOOKUP('Comptage Décadaire'!AE125,Utilisateurs!$D$2:$F$81,3,FALSE),"")</f>
        <v/>
      </c>
      <c r="AE124" s="35" t="str">
        <f>IF('Comptage Décadaire'!AF125&lt;&gt;"",VLOOKUP('Comptage Décadaire'!AF125,'Comptage Décadaire'!AF:AF,1,FALSE),"")</f>
        <v/>
      </c>
      <c r="AF124" s="32" t="str">
        <f>IF('Comptage Décadaire'!AG125&lt;&gt;"",VLOOKUP('Comptage Décadaire'!AG125,'Comptage Décadaire'!AG:AG,1,FALSE),"")</f>
        <v/>
      </c>
    </row>
    <row r="125" spans="1:32" x14ac:dyDescent="0.25">
      <c r="A125" s="25" t="str">
        <f>IF('Comptage Décadaire'!A126&lt;&gt;"",VLOOKUP('Comptage Décadaire'!A126,'Comptage Décadaire'!A:A,1,FALSE),"")</f>
        <v/>
      </c>
      <c r="B125" s="27" t="str">
        <f>IF('Comptage Décadaire'!B126&lt;&gt;"",VLOOKUP('Comptage Décadaire'!B126,'Comptage Décadaire'!B:B,1,FALSE),"")</f>
        <v/>
      </c>
      <c r="C125" s="28" t="str">
        <f>IF('Comptage Décadaire'!C126&lt;&gt;"",VLOOKUP('Comptage Décadaire'!C126,'Comptage Décadaire'!C:C,1,FALSE),"")</f>
        <v/>
      </c>
      <c r="D125" s="29" t="str">
        <f>IF('Comptage Décadaire'!D126&lt;&gt;"",VLOOKUP('Comptage Décadaire'!D126,Sites!$A:$B,2,FALSE),"")</f>
        <v/>
      </c>
      <c r="E125" s="29" t="str">
        <f>IF('Comptage Décadaire'!E126&lt;&gt;"",VLOOKUP('Comptage Décadaire'!E126,'Comptage Décadaire'!E:E,1,FALSE),"")</f>
        <v/>
      </c>
      <c r="F125" s="29" t="str">
        <f>IF('Comptage Décadaire'!F126&lt;&gt;"",VLOOKUP('Comptage Décadaire'!F126,Nomenclature!$B$2:$C$4,2,FALSE),"")</f>
        <v/>
      </c>
      <c r="G125" s="29" t="str">
        <f>IF('Comptage Décadaire'!G126&lt;&gt;"",VLOOKUP('Comptage Décadaire'!G126,'Comptage Décadaire'!G:G,1,FALSE),"")</f>
        <v/>
      </c>
      <c r="H125" s="29" t="str">
        <f>IF('Comptage Décadaire'!H126&lt;&gt;"",VLOOKUP('Comptage Décadaire'!H126,Nomenclature!$D$2:$E$7,2,FALSE),"")</f>
        <v/>
      </c>
      <c r="I125" s="30" t="str">
        <f>IF('Comptage Décadaire'!J126&lt;&gt;"",VLOOKUP('Comptage Décadaire'!J126,'Comptage Décadaire'!J:J,1,FALSE),"")</f>
        <v/>
      </c>
      <c r="J125" s="30" t="str">
        <f>IF('Comptage Décadaire'!K126&lt;&gt;"",VLOOKUP('Comptage Décadaire'!K126,'Comptage Décadaire'!K:K,1,FALSE),"")</f>
        <v/>
      </c>
      <c r="K125" s="30" t="str">
        <f>IF('Comptage Décadaire'!L126&lt;&gt;"",VLOOKUP('Comptage Décadaire'!L126,'Comptage Décadaire'!L:L,1,FALSE),"")</f>
        <v/>
      </c>
      <c r="L125" s="31" t="str">
        <f>IF('Comptage Décadaire'!M126&lt;&gt;"",VLOOKUP('Comptage Décadaire'!M126,'Comptage Décadaire'!M:M,1,FALSE),"")</f>
        <v/>
      </c>
      <c r="M125" s="33" t="str">
        <f>IF('Comptage Décadaire'!N126&lt;&gt;"",VLOOKUP('Comptage Décadaire'!N126,Utilisateurs!$D:$F,3,FALSE),"")</f>
        <v/>
      </c>
      <c r="N125" s="33" t="str">
        <f>IF('Comptage Décadaire'!O126&lt;&gt;"",VLOOKUP('Comptage Décadaire'!O126,Utilisateurs!$D:$F,3,FALSE),"")</f>
        <v/>
      </c>
      <c r="O125" s="33" t="str">
        <f>IF('Comptage Décadaire'!P126&lt;&gt;"",VLOOKUP('Comptage Décadaire'!P126,Utilisateurs!$D:$F,3,FALSE),"")</f>
        <v/>
      </c>
      <c r="P125" s="33" t="str">
        <f>IF('Comptage Décadaire'!Q126&lt;&gt;"",VLOOKUP('Comptage Décadaire'!Q126,Utilisateurs!$D:$F,3,FALSE),"")</f>
        <v/>
      </c>
      <c r="Q125" s="33" t="str">
        <f>IF('Comptage Décadaire'!R126&lt;&gt;"",VLOOKUP('Comptage Décadaire'!R126,Utilisateurs!$D:$F,3,FALSE),"")</f>
        <v/>
      </c>
      <c r="R125" s="30" t="str">
        <f>IF('Comptage Décadaire'!S126&lt;&gt;"",VLOOKUP('Comptage Décadaire'!S126,Nomenclature!$N:$O,2,FALSE),"")</f>
        <v/>
      </c>
      <c r="S125" s="30" t="str">
        <f>IF('Comptage Décadaire'!T126&lt;&gt;"",VLOOKUP('Comptage Décadaire'!T126,'Comptage Décadaire'!T:T,1,FALSE),"")</f>
        <v/>
      </c>
      <c r="T125" s="30" t="str">
        <f>IF('Comptage Décadaire'!U126&lt;&gt;"",VLOOKUP('Comptage Décadaire'!U126,'Comptage Décadaire'!U:U,1,FALSE),"")</f>
        <v/>
      </c>
      <c r="U125" s="30" t="str">
        <f>IF('Comptage Décadaire'!V126&lt;&gt;"",VLOOKUP('Comptage Décadaire'!V126,'Comptage Décadaire'!V:V,1,FALSE),"")</f>
        <v/>
      </c>
      <c r="V125" s="30" t="str">
        <f>IF('Comptage Décadaire'!W126&lt;&gt;"",VLOOKUP('Comptage Décadaire'!W126,'Comptage Décadaire'!W:W,1,FALSE),"")</f>
        <v/>
      </c>
      <c r="W125" s="30" t="str">
        <f>IF('Comptage Décadaire'!X126&lt;&gt;"",VLOOKUP('Comptage Décadaire'!X126,'Comptage Décadaire'!X:X,1,FALSE),"")</f>
        <v/>
      </c>
      <c r="X125" s="30" t="str">
        <f>IF('Comptage Décadaire'!Y126&lt;&gt;"",VLOOKUP('Comptage Décadaire'!Y126,'Comptage Décadaire'!Y:Y,1,FALSE),"")</f>
        <v/>
      </c>
      <c r="Y125" s="30" t="str">
        <f>IF('Comptage Décadaire'!Z126&lt;&gt;"",VLOOKUP('Comptage Décadaire'!Z126,Nomenclature!$F$2:$G$7,2,FALSE),"")</f>
        <v/>
      </c>
      <c r="Z125" s="30" t="str">
        <f>IF('Comptage Décadaire'!AA126&lt;&gt;"",VLOOKUP('Comptage Décadaire'!AA126,Nomenclature!$H$2:$I$31,2,FALSE),"")</f>
        <v/>
      </c>
      <c r="AA125" s="30" t="str">
        <f>IF('Comptage Décadaire'!AB126&lt;&gt;"",VLOOKUP('Comptage Décadaire'!AB126,Nomenclature!$J$2:$K$21,2,FALSE),"")</f>
        <v/>
      </c>
      <c r="AB125" s="30" t="str">
        <f>IF('Comptage Décadaire'!AC126&lt;&gt;"",VLOOKUP('Comptage Décadaire'!AC126,'Comptage Décadaire'!AC:AC,1,FALSE),"")</f>
        <v/>
      </c>
      <c r="AC125" s="32" t="str">
        <f>IF('Comptage Décadaire'!AD126&lt;&gt;"",VLOOKUP('Comptage Décadaire'!AD126,Nomenclature!$L$2:$M$8,2,FALSE),"")</f>
        <v/>
      </c>
      <c r="AD125" s="32" t="str">
        <f>IF('Comptage Décadaire'!AE126&lt;&gt;"",VLOOKUP('Comptage Décadaire'!AE126,Utilisateurs!$D$2:$F$81,3,FALSE),"")</f>
        <v/>
      </c>
      <c r="AE125" s="35" t="str">
        <f>IF('Comptage Décadaire'!AF126&lt;&gt;"",VLOOKUP('Comptage Décadaire'!AF126,'Comptage Décadaire'!AF:AF,1,FALSE),"")</f>
        <v/>
      </c>
      <c r="AF125" s="32" t="str">
        <f>IF('Comptage Décadaire'!AG126&lt;&gt;"",VLOOKUP('Comptage Décadaire'!AG126,'Comptage Décadaire'!AG:AG,1,FALSE),"")</f>
        <v/>
      </c>
    </row>
    <row r="126" spans="1:32" x14ac:dyDescent="0.25">
      <c r="A126" s="25" t="str">
        <f>IF('Comptage Décadaire'!A127&lt;&gt;"",VLOOKUP('Comptage Décadaire'!A127,'Comptage Décadaire'!A:A,1,FALSE),"")</f>
        <v/>
      </c>
      <c r="B126" s="27" t="str">
        <f>IF('Comptage Décadaire'!B127&lt;&gt;"",VLOOKUP('Comptage Décadaire'!B127,'Comptage Décadaire'!B:B,1,FALSE),"")</f>
        <v/>
      </c>
      <c r="C126" s="28" t="str">
        <f>IF('Comptage Décadaire'!C127&lt;&gt;"",VLOOKUP('Comptage Décadaire'!C127,'Comptage Décadaire'!C:C,1,FALSE),"")</f>
        <v/>
      </c>
      <c r="D126" s="29" t="str">
        <f>IF('Comptage Décadaire'!D127&lt;&gt;"",VLOOKUP('Comptage Décadaire'!D127,Sites!$A:$B,2,FALSE),"")</f>
        <v/>
      </c>
      <c r="E126" s="29" t="str">
        <f>IF('Comptage Décadaire'!E127&lt;&gt;"",VLOOKUP('Comptage Décadaire'!E127,'Comptage Décadaire'!E:E,1,FALSE),"")</f>
        <v/>
      </c>
      <c r="F126" s="29" t="str">
        <f>IF('Comptage Décadaire'!F127&lt;&gt;"",VLOOKUP('Comptage Décadaire'!F127,Nomenclature!$B$2:$C$4,2,FALSE),"")</f>
        <v/>
      </c>
      <c r="G126" s="29" t="str">
        <f>IF('Comptage Décadaire'!G127&lt;&gt;"",VLOOKUP('Comptage Décadaire'!G127,'Comptage Décadaire'!G:G,1,FALSE),"")</f>
        <v/>
      </c>
      <c r="H126" s="29" t="str">
        <f>IF('Comptage Décadaire'!H127&lt;&gt;"",VLOOKUP('Comptage Décadaire'!H127,Nomenclature!$D$2:$E$7,2,FALSE),"")</f>
        <v/>
      </c>
      <c r="I126" s="30" t="str">
        <f>IF('Comptage Décadaire'!J127&lt;&gt;"",VLOOKUP('Comptage Décadaire'!J127,'Comptage Décadaire'!J:J,1,FALSE),"")</f>
        <v/>
      </c>
      <c r="J126" s="30" t="str">
        <f>IF('Comptage Décadaire'!K127&lt;&gt;"",VLOOKUP('Comptage Décadaire'!K127,'Comptage Décadaire'!K:K,1,FALSE),"")</f>
        <v/>
      </c>
      <c r="K126" s="30" t="str">
        <f>IF('Comptage Décadaire'!L127&lt;&gt;"",VLOOKUP('Comptage Décadaire'!L127,'Comptage Décadaire'!L:L,1,FALSE),"")</f>
        <v/>
      </c>
      <c r="L126" s="31" t="str">
        <f>IF('Comptage Décadaire'!M127&lt;&gt;"",VLOOKUP('Comptage Décadaire'!M127,'Comptage Décadaire'!M:M,1,FALSE),"")</f>
        <v/>
      </c>
      <c r="M126" s="33" t="str">
        <f>IF('Comptage Décadaire'!N127&lt;&gt;"",VLOOKUP('Comptage Décadaire'!N127,Utilisateurs!$D:$F,3,FALSE),"")</f>
        <v/>
      </c>
      <c r="N126" s="33" t="str">
        <f>IF('Comptage Décadaire'!O127&lt;&gt;"",VLOOKUP('Comptage Décadaire'!O127,Utilisateurs!$D:$F,3,FALSE),"")</f>
        <v/>
      </c>
      <c r="O126" s="33" t="str">
        <f>IF('Comptage Décadaire'!P127&lt;&gt;"",VLOOKUP('Comptage Décadaire'!P127,Utilisateurs!$D:$F,3,FALSE),"")</f>
        <v/>
      </c>
      <c r="P126" s="33" t="str">
        <f>IF('Comptage Décadaire'!Q127&lt;&gt;"",VLOOKUP('Comptage Décadaire'!Q127,Utilisateurs!$D:$F,3,FALSE),"")</f>
        <v/>
      </c>
      <c r="Q126" s="33" t="str">
        <f>IF('Comptage Décadaire'!R127&lt;&gt;"",VLOOKUP('Comptage Décadaire'!R127,Utilisateurs!$D:$F,3,FALSE),"")</f>
        <v/>
      </c>
      <c r="R126" s="30" t="str">
        <f>IF('Comptage Décadaire'!S127&lt;&gt;"",VLOOKUP('Comptage Décadaire'!S127,Nomenclature!$N:$O,2,FALSE),"")</f>
        <v/>
      </c>
      <c r="S126" s="30" t="str">
        <f>IF('Comptage Décadaire'!T127&lt;&gt;"",VLOOKUP('Comptage Décadaire'!T127,'Comptage Décadaire'!T:T,1,FALSE),"")</f>
        <v/>
      </c>
      <c r="T126" s="30" t="str">
        <f>IF('Comptage Décadaire'!U127&lt;&gt;"",VLOOKUP('Comptage Décadaire'!U127,'Comptage Décadaire'!U:U,1,FALSE),"")</f>
        <v/>
      </c>
      <c r="U126" s="30" t="str">
        <f>IF('Comptage Décadaire'!V127&lt;&gt;"",VLOOKUP('Comptage Décadaire'!V127,'Comptage Décadaire'!V:V,1,FALSE),"")</f>
        <v/>
      </c>
      <c r="V126" s="30" t="str">
        <f>IF('Comptage Décadaire'!W127&lt;&gt;"",VLOOKUP('Comptage Décadaire'!W127,'Comptage Décadaire'!W:W,1,FALSE),"")</f>
        <v/>
      </c>
      <c r="W126" s="30" t="str">
        <f>IF('Comptage Décadaire'!X127&lt;&gt;"",VLOOKUP('Comptage Décadaire'!X127,'Comptage Décadaire'!X:X,1,FALSE),"")</f>
        <v/>
      </c>
      <c r="X126" s="30" t="str">
        <f>IF('Comptage Décadaire'!Y127&lt;&gt;"",VLOOKUP('Comptage Décadaire'!Y127,'Comptage Décadaire'!Y:Y,1,FALSE),"")</f>
        <v/>
      </c>
      <c r="Y126" s="30" t="str">
        <f>IF('Comptage Décadaire'!Z127&lt;&gt;"",VLOOKUP('Comptage Décadaire'!Z127,Nomenclature!$F$2:$G$7,2,FALSE),"")</f>
        <v/>
      </c>
      <c r="Z126" s="30" t="str">
        <f>IF('Comptage Décadaire'!AA127&lt;&gt;"",VLOOKUP('Comptage Décadaire'!AA127,Nomenclature!$H$2:$I$31,2,FALSE),"")</f>
        <v/>
      </c>
      <c r="AA126" s="30" t="str">
        <f>IF('Comptage Décadaire'!AB127&lt;&gt;"",VLOOKUP('Comptage Décadaire'!AB127,Nomenclature!$J$2:$K$21,2,FALSE),"")</f>
        <v/>
      </c>
      <c r="AB126" s="30" t="str">
        <f>IF('Comptage Décadaire'!AC127&lt;&gt;"",VLOOKUP('Comptage Décadaire'!AC127,'Comptage Décadaire'!AC:AC,1,FALSE),"")</f>
        <v/>
      </c>
      <c r="AC126" s="32" t="str">
        <f>IF('Comptage Décadaire'!AD127&lt;&gt;"",VLOOKUP('Comptage Décadaire'!AD127,Nomenclature!$L$2:$M$8,2,FALSE),"")</f>
        <v/>
      </c>
      <c r="AD126" s="32" t="str">
        <f>IF('Comptage Décadaire'!AE127&lt;&gt;"",VLOOKUP('Comptage Décadaire'!AE127,Utilisateurs!$D$2:$F$81,3,FALSE),"")</f>
        <v/>
      </c>
      <c r="AE126" s="35" t="str">
        <f>IF('Comptage Décadaire'!AF127&lt;&gt;"",VLOOKUP('Comptage Décadaire'!AF127,'Comptage Décadaire'!AF:AF,1,FALSE),"")</f>
        <v/>
      </c>
      <c r="AF126" s="32" t="str">
        <f>IF('Comptage Décadaire'!AG127&lt;&gt;"",VLOOKUP('Comptage Décadaire'!AG127,'Comptage Décadaire'!AG:AG,1,FALSE),"")</f>
        <v/>
      </c>
    </row>
    <row r="127" spans="1:32" x14ac:dyDescent="0.25">
      <c r="A127" s="25" t="str">
        <f>IF('Comptage Décadaire'!A128&lt;&gt;"",VLOOKUP('Comptage Décadaire'!A128,'Comptage Décadaire'!A:A,1,FALSE),"")</f>
        <v/>
      </c>
      <c r="B127" s="27" t="str">
        <f>IF('Comptage Décadaire'!B128&lt;&gt;"",VLOOKUP('Comptage Décadaire'!B128,'Comptage Décadaire'!B:B,1,FALSE),"")</f>
        <v/>
      </c>
      <c r="C127" s="28" t="str">
        <f>IF('Comptage Décadaire'!C128&lt;&gt;"",VLOOKUP('Comptage Décadaire'!C128,'Comptage Décadaire'!C:C,1,FALSE),"")</f>
        <v/>
      </c>
      <c r="D127" s="29" t="str">
        <f>IF('Comptage Décadaire'!D128&lt;&gt;"",VLOOKUP('Comptage Décadaire'!D128,Sites!$A:$B,2,FALSE),"")</f>
        <v/>
      </c>
      <c r="E127" s="29" t="str">
        <f>IF('Comptage Décadaire'!E128&lt;&gt;"",VLOOKUP('Comptage Décadaire'!E128,'Comptage Décadaire'!E:E,1,FALSE),"")</f>
        <v/>
      </c>
      <c r="F127" s="29" t="str">
        <f>IF('Comptage Décadaire'!F128&lt;&gt;"",VLOOKUP('Comptage Décadaire'!F128,Nomenclature!$B$2:$C$4,2,FALSE),"")</f>
        <v/>
      </c>
      <c r="G127" s="29" t="str">
        <f>IF('Comptage Décadaire'!G128&lt;&gt;"",VLOOKUP('Comptage Décadaire'!G128,'Comptage Décadaire'!G:G,1,FALSE),"")</f>
        <v/>
      </c>
      <c r="H127" s="29" t="str">
        <f>IF('Comptage Décadaire'!H128&lt;&gt;"",VLOOKUP('Comptage Décadaire'!H128,Nomenclature!$D$2:$E$7,2,FALSE),"")</f>
        <v/>
      </c>
      <c r="I127" s="30" t="str">
        <f>IF('Comptage Décadaire'!J128&lt;&gt;"",VLOOKUP('Comptage Décadaire'!J128,'Comptage Décadaire'!J:J,1,FALSE),"")</f>
        <v/>
      </c>
      <c r="J127" s="30" t="str">
        <f>IF('Comptage Décadaire'!K128&lt;&gt;"",VLOOKUP('Comptage Décadaire'!K128,'Comptage Décadaire'!K:K,1,FALSE),"")</f>
        <v/>
      </c>
      <c r="K127" s="30" t="str">
        <f>IF('Comptage Décadaire'!L128&lt;&gt;"",VLOOKUP('Comptage Décadaire'!L128,'Comptage Décadaire'!L:L,1,FALSE),"")</f>
        <v/>
      </c>
      <c r="L127" s="31" t="str">
        <f>IF('Comptage Décadaire'!M128&lt;&gt;"",VLOOKUP('Comptage Décadaire'!M128,'Comptage Décadaire'!M:M,1,FALSE),"")</f>
        <v/>
      </c>
      <c r="M127" s="33" t="str">
        <f>IF('Comptage Décadaire'!N128&lt;&gt;"",VLOOKUP('Comptage Décadaire'!N128,Utilisateurs!$D:$F,3,FALSE),"")</f>
        <v/>
      </c>
      <c r="N127" s="33" t="str">
        <f>IF('Comptage Décadaire'!O128&lt;&gt;"",VLOOKUP('Comptage Décadaire'!O128,Utilisateurs!$D:$F,3,FALSE),"")</f>
        <v/>
      </c>
      <c r="O127" s="33" t="str">
        <f>IF('Comptage Décadaire'!P128&lt;&gt;"",VLOOKUP('Comptage Décadaire'!P128,Utilisateurs!$D:$F,3,FALSE),"")</f>
        <v/>
      </c>
      <c r="P127" s="33" t="str">
        <f>IF('Comptage Décadaire'!Q128&lt;&gt;"",VLOOKUP('Comptage Décadaire'!Q128,Utilisateurs!$D:$F,3,FALSE),"")</f>
        <v/>
      </c>
      <c r="Q127" s="33" t="str">
        <f>IF('Comptage Décadaire'!R128&lt;&gt;"",VLOOKUP('Comptage Décadaire'!R128,Utilisateurs!$D:$F,3,FALSE),"")</f>
        <v/>
      </c>
      <c r="R127" s="30" t="str">
        <f>IF('Comptage Décadaire'!S128&lt;&gt;"",VLOOKUP('Comptage Décadaire'!S128,Nomenclature!$N:$O,2,FALSE),"")</f>
        <v/>
      </c>
      <c r="S127" s="30" t="str">
        <f>IF('Comptage Décadaire'!T128&lt;&gt;"",VLOOKUP('Comptage Décadaire'!T128,'Comptage Décadaire'!T:T,1,FALSE),"")</f>
        <v/>
      </c>
      <c r="T127" s="30" t="str">
        <f>IF('Comptage Décadaire'!U128&lt;&gt;"",VLOOKUP('Comptage Décadaire'!U128,'Comptage Décadaire'!U:U,1,FALSE),"")</f>
        <v/>
      </c>
      <c r="U127" s="30" t="str">
        <f>IF('Comptage Décadaire'!V128&lt;&gt;"",VLOOKUP('Comptage Décadaire'!V128,'Comptage Décadaire'!V:V,1,FALSE),"")</f>
        <v/>
      </c>
      <c r="V127" s="30" t="str">
        <f>IF('Comptage Décadaire'!W128&lt;&gt;"",VLOOKUP('Comptage Décadaire'!W128,'Comptage Décadaire'!W:W,1,FALSE),"")</f>
        <v/>
      </c>
      <c r="W127" s="30" t="str">
        <f>IF('Comptage Décadaire'!X128&lt;&gt;"",VLOOKUP('Comptage Décadaire'!X128,'Comptage Décadaire'!X:X,1,FALSE),"")</f>
        <v/>
      </c>
      <c r="X127" s="30" t="str">
        <f>IF('Comptage Décadaire'!Y128&lt;&gt;"",VLOOKUP('Comptage Décadaire'!Y128,'Comptage Décadaire'!Y:Y,1,FALSE),"")</f>
        <v/>
      </c>
      <c r="Y127" s="30" t="str">
        <f>IF('Comptage Décadaire'!Z128&lt;&gt;"",VLOOKUP('Comptage Décadaire'!Z128,Nomenclature!$F$2:$G$7,2,FALSE),"")</f>
        <v/>
      </c>
      <c r="Z127" s="30" t="str">
        <f>IF('Comptage Décadaire'!AA128&lt;&gt;"",VLOOKUP('Comptage Décadaire'!AA128,Nomenclature!$H$2:$I$31,2,FALSE),"")</f>
        <v/>
      </c>
      <c r="AA127" s="30" t="str">
        <f>IF('Comptage Décadaire'!AB128&lt;&gt;"",VLOOKUP('Comptage Décadaire'!AB128,Nomenclature!$J$2:$K$21,2,FALSE),"")</f>
        <v/>
      </c>
      <c r="AB127" s="30" t="str">
        <f>IF('Comptage Décadaire'!AC128&lt;&gt;"",VLOOKUP('Comptage Décadaire'!AC128,'Comptage Décadaire'!AC:AC,1,FALSE),"")</f>
        <v/>
      </c>
      <c r="AC127" s="32" t="str">
        <f>IF('Comptage Décadaire'!AD128&lt;&gt;"",VLOOKUP('Comptage Décadaire'!AD128,Nomenclature!$L$2:$M$8,2,FALSE),"")</f>
        <v/>
      </c>
      <c r="AD127" s="32" t="str">
        <f>IF('Comptage Décadaire'!AE128&lt;&gt;"",VLOOKUP('Comptage Décadaire'!AE128,Utilisateurs!$D$2:$F$81,3,FALSE),"")</f>
        <v/>
      </c>
      <c r="AE127" s="35" t="str">
        <f>IF('Comptage Décadaire'!AF128&lt;&gt;"",VLOOKUP('Comptage Décadaire'!AF128,'Comptage Décadaire'!AF:AF,1,FALSE),"")</f>
        <v/>
      </c>
      <c r="AF127" s="32" t="str">
        <f>IF('Comptage Décadaire'!AG128&lt;&gt;"",VLOOKUP('Comptage Décadaire'!AG128,'Comptage Décadaire'!AG:AG,1,FALSE),"")</f>
        <v/>
      </c>
    </row>
    <row r="128" spans="1:32" x14ac:dyDescent="0.25">
      <c r="A128" s="25" t="str">
        <f>IF('Comptage Décadaire'!A129&lt;&gt;"",VLOOKUP('Comptage Décadaire'!A129,'Comptage Décadaire'!A:A,1,FALSE),"")</f>
        <v/>
      </c>
      <c r="B128" s="27" t="str">
        <f>IF('Comptage Décadaire'!B129&lt;&gt;"",VLOOKUP('Comptage Décadaire'!B129,'Comptage Décadaire'!B:B,1,FALSE),"")</f>
        <v/>
      </c>
      <c r="C128" s="28" t="str">
        <f>IF('Comptage Décadaire'!C129&lt;&gt;"",VLOOKUP('Comptage Décadaire'!C129,'Comptage Décadaire'!C:C,1,FALSE),"")</f>
        <v/>
      </c>
      <c r="D128" s="29" t="str">
        <f>IF('Comptage Décadaire'!D129&lt;&gt;"",VLOOKUP('Comptage Décadaire'!D129,Sites!$A:$B,2,FALSE),"")</f>
        <v/>
      </c>
      <c r="E128" s="29" t="str">
        <f>IF('Comptage Décadaire'!E129&lt;&gt;"",VLOOKUP('Comptage Décadaire'!E129,'Comptage Décadaire'!E:E,1,FALSE),"")</f>
        <v/>
      </c>
      <c r="F128" s="29" t="str">
        <f>IF('Comptage Décadaire'!F129&lt;&gt;"",VLOOKUP('Comptage Décadaire'!F129,Nomenclature!$B$2:$C$4,2,FALSE),"")</f>
        <v/>
      </c>
      <c r="G128" s="29" t="str">
        <f>IF('Comptage Décadaire'!G129&lt;&gt;"",VLOOKUP('Comptage Décadaire'!G129,'Comptage Décadaire'!G:G,1,FALSE),"")</f>
        <v/>
      </c>
      <c r="H128" s="29" t="str">
        <f>IF('Comptage Décadaire'!H129&lt;&gt;"",VLOOKUP('Comptage Décadaire'!H129,Nomenclature!$D$2:$E$7,2,FALSE),"")</f>
        <v/>
      </c>
      <c r="I128" s="30" t="str">
        <f>IF('Comptage Décadaire'!J129&lt;&gt;"",VLOOKUP('Comptage Décadaire'!J129,'Comptage Décadaire'!J:J,1,FALSE),"")</f>
        <v/>
      </c>
      <c r="J128" s="30" t="str">
        <f>IF('Comptage Décadaire'!K129&lt;&gt;"",VLOOKUP('Comptage Décadaire'!K129,'Comptage Décadaire'!K:K,1,FALSE),"")</f>
        <v/>
      </c>
      <c r="K128" s="30" t="str">
        <f>IF('Comptage Décadaire'!L129&lt;&gt;"",VLOOKUP('Comptage Décadaire'!L129,'Comptage Décadaire'!L:L,1,FALSE),"")</f>
        <v/>
      </c>
      <c r="L128" s="31" t="str">
        <f>IF('Comptage Décadaire'!M129&lt;&gt;"",VLOOKUP('Comptage Décadaire'!M129,'Comptage Décadaire'!M:M,1,FALSE),"")</f>
        <v/>
      </c>
      <c r="M128" s="33" t="str">
        <f>IF('Comptage Décadaire'!N129&lt;&gt;"",VLOOKUP('Comptage Décadaire'!N129,Utilisateurs!$D:$F,3,FALSE),"")</f>
        <v/>
      </c>
      <c r="N128" s="33" t="str">
        <f>IF('Comptage Décadaire'!O129&lt;&gt;"",VLOOKUP('Comptage Décadaire'!O129,Utilisateurs!$D:$F,3,FALSE),"")</f>
        <v/>
      </c>
      <c r="O128" s="33" t="str">
        <f>IF('Comptage Décadaire'!P129&lt;&gt;"",VLOOKUP('Comptage Décadaire'!P129,Utilisateurs!$D:$F,3,FALSE),"")</f>
        <v/>
      </c>
      <c r="P128" s="33" t="str">
        <f>IF('Comptage Décadaire'!Q129&lt;&gt;"",VLOOKUP('Comptage Décadaire'!Q129,Utilisateurs!$D:$F,3,FALSE),"")</f>
        <v/>
      </c>
      <c r="Q128" s="33" t="str">
        <f>IF('Comptage Décadaire'!R129&lt;&gt;"",VLOOKUP('Comptage Décadaire'!R129,Utilisateurs!$D:$F,3,FALSE),"")</f>
        <v/>
      </c>
      <c r="R128" s="30" t="str">
        <f>IF('Comptage Décadaire'!S129&lt;&gt;"",VLOOKUP('Comptage Décadaire'!S129,Nomenclature!$N:$O,2,FALSE),"")</f>
        <v/>
      </c>
      <c r="S128" s="30" t="str">
        <f>IF('Comptage Décadaire'!T129&lt;&gt;"",VLOOKUP('Comptage Décadaire'!T129,'Comptage Décadaire'!T:T,1,FALSE),"")</f>
        <v/>
      </c>
      <c r="T128" s="30" t="str">
        <f>IF('Comptage Décadaire'!U129&lt;&gt;"",VLOOKUP('Comptage Décadaire'!U129,'Comptage Décadaire'!U:U,1,FALSE),"")</f>
        <v/>
      </c>
      <c r="U128" s="30" t="str">
        <f>IF('Comptage Décadaire'!V129&lt;&gt;"",VLOOKUP('Comptage Décadaire'!V129,'Comptage Décadaire'!V:V,1,FALSE),"")</f>
        <v/>
      </c>
      <c r="V128" s="30" t="str">
        <f>IF('Comptage Décadaire'!W129&lt;&gt;"",VLOOKUP('Comptage Décadaire'!W129,'Comptage Décadaire'!W:W,1,FALSE),"")</f>
        <v/>
      </c>
      <c r="W128" s="30" t="str">
        <f>IF('Comptage Décadaire'!X129&lt;&gt;"",VLOOKUP('Comptage Décadaire'!X129,'Comptage Décadaire'!X:X,1,FALSE),"")</f>
        <v/>
      </c>
      <c r="X128" s="30" t="str">
        <f>IF('Comptage Décadaire'!Y129&lt;&gt;"",VLOOKUP('Comptage Décadaire'!Y129,'Comptage Décadaire'!Y:Y,1,FALSE),"")</f>
        <v/>
      </c>
      <c r="Y128" s="30" t="str">
        <f>IF('Comptage Décadaire'!Z129&lt;&gt;"",VLOOKUP('Comptage Décadaire'!Z129,Nomenclature!$F$2:$G$7,2,FALSE),"")</f>
        <v/>
      </c>
      <c r="Z128" s="30" t="str">
        <f>IF('Comptage Décadaire'!AA129&lt;&gt;"",VLOOKUP('Comptage Décadaire'!AA129,Nomenclature!$H$2:$I$31,2,FALSE),"")</f>
        <v/>
      </c>
      <c r="AA128" s="30" t="str">
        <f>IF('Comptage Décadaire'!AB129&lt;&gt;"",VLOOKUP('Comptage Décadaire'!AB129,Nomenclature!$J$2:$K$21,2,FALSE),"")</f>
        <v/>
      </c>
      <c r="AB128" s="30" t="str">
        <f>IF('Comptage Décadaire'!AC129&lt;&gt;"",VLOOKUP('Comptage Décadaire'!AC129,'Comptage Décadaire'!AC:AC,1,FALSE),"")</f>
        <v/>
      </c>
      <c r="AC128" s="32" t="str">
        <f>IF('Comptage Décadaire'!AD129&lt;&gt;"",VLOOKUP('Comptage Décadaire'!AD129,Nomenclature!$L$2:$M$8,2,FALSE),"")</f>
        <v/>
      </c>
      <c r="AD128" s="32" t="str">
        <f>IF('Comptage Décadaire'!AE129&lt;&gt;"",VLOOKUP('Comptage Décadaire'!AE129,Utilisateurs!$D$2:$F$81,3,FALSE),"")</f>
        <v/>
      </c>
      <c r="AE128" s="35" t="str">
        <f>IF('Comptage Décadaire'!AF129&lt;&gt;"",VLOOKUP('Comptage Décadaire'!AF129,'Comptage Décadaire'!AF:AF,1,FALSE),"")</f>
        <v/>
      </c>
      <c r="AF128" s="32" t="str">
        <f>IF('Comptage Décadaire'!AG129&lt;&gt;"",VLOOKUP('Comptage Décadaire'!AG129,'Comptage Décadaire'!AG:AG,1,FALSE),"")</f>
        <v/>
      </c>
    </row>
    <row r="129" spans="1:32" x14ac:dyDescent="0.25">
      <c r="A129" s="25" t="str">
        <f>IF('Comptage Décadaire'!A130&lt;&gt;"",VLOOKUP('Comptage Décadaire'!A130,'Comptage Décadaire'!A:A,1,FALSE),"")</f>
        <v/>
      </c>
      <c r="B129" s="27" t="str">
        <f>IF('Comptage Décadaire'!B130&lt;&gt;"",VLOOKUP('Comptage Décadaire'!B130,'Comptage Décadaire'!B:B,1,FALSE),"")</f>
        <v/>
      </c>
      <c r="C129" s="28" t="str">
        <f>IF('Comptage Décadaire'!C130&lt;&gt;"",VLOOKUP('Comptage Décadaire'!C130,'Comptage Décadaire'!C:C,1,FALSE),"")</f>
        <v/>
      </c>
      <c r="D129" s="29" t="str">
        <f>IF('Comptage Décadaire'!D130&lt;&gt;"",VLOOKUP('Comptage Décadaire'!D130,Sites!$A:$B,2,FALSE),"")</f>
        <v/>
      </c>
      <c r="E129" s="29" t="str">
        <f>IF('Comptage Décadaire'!E130&lt;&gt;"",VLOOKUP('Comptage Décadaire'!E130,'Comptage Décadaire'!E:E,1,FALSE),"")</f>
        <v/>
      </c>
      <c r="F129" s="29" t="str">
        <f>IF('Comptage Décadaire'!F130&lt;&gt;"",VLOOKUP('Comptage Décadaire'!F130,Nomenclature!$B$2:$C$4,2,FALSE),"")</f>
        <v/>
      </c>
      <c r="G129" s="29" t="str">
        <f>IF('Comptage Décadaire'!G130&lt;&gt;"",VLOOKUP('Comptage Décadaire'!G130,'Comptage Décadaire'!G:G,1,FALSE),"")</f>
        <v/>
      </c>
      <c r="H129" s="29" t="str">
        <f>IF('Comptage Décadaire'!H130&lt;&gt;"",VLOOKUP('Comptage Décadaire'!H130,Nomenclature!$D$2:$E$7,2,FALSE),"")</f>
        <v/>
      </c>
      <c r="I129" s="30" t="str">
        <f>IF('Comptage Décadaire'!J130&lt;&gt;"",VLOOKUP('Comptage Décadaire'!J130,'Comptage Décadaire'!J:J,1,FALSE),"")</f>
        <v/>
      </c>
      <c r="J129" s="30" t="str">
        <f>IF('Comptage Décadaire'!K130&lt;&gt;"",VLOOKUP('Comptage Décadaire'!K130,'Comptage Décadaire'!K:K,1,FALSE),"")</f>
        <v/>
      </c>
      <c r="K129" s="30" t="str">
        <f>IF('Comptage Décadaire'!L130&lt;&gt;"",VLOOKUP('Comptage Décadaire'!L130,'Comptage Décadaire'!L:L,1,FALSE),"")</f>
        <v/>
      </c>
      <c r="L129" s="31" t="str">
        <f>IF('Comptage Décadaire'!M130&lt;&gt;"",VLOOKUP('Comptage Décadaire'!M130,'Comptage Décadaire'!M:M,1,FALSE),"")</f>
        <v/>
      </c>
      <c r="M129" s="33" t="str">
        <f>IF('Comptage Décadaire'!N130&lt;&gt;"",VLOOKUP('Comptage Décadaire'!N130,Utilisateurs!$D:$F,3,FALSE),"")</f>
        <v/>
      </c>
      <c r="N129" s="33" t="str">
        <f>IF('Comptage Décadaire'!O130&lt;&gt;"",VLOOKUP('Comptage Décadaire'!O130,Utilisateurs!$D:$F,3,FALSE),"")</f>
        <v/>
      </c>
      <c r="O129" s="33" t="str">
        <f>IF('Comptage Décadaire'!P130&lt;&gt;"",VLOOKUP('Comptage Décadaire'!P130,Utilisateurs!$D:$F,3,FALSE),"")</f>
        <v/>
      </c>
      <c r="P129" s="33" t="str">
        <f>IF('Comptage Décadaire'!Q130&lt;&gt;"",VLOOKUP('Comptage Décadaire'!Q130,Utilisateurs!$D:$F,3,FALSE),"")</f>
        <v/>
      </c>
      <c r="Q129" s="33" t="str">
        <f>IF('Comptage Décadaire'!R130&lt;&gt;"",VLOOKUP('Comptage Décadaire'!R130,Utilisateurs!$D:$F,3,FALSE),"")</f>
        <v/>
      </c>
      <c r="R129" s="30" t="str">
        <f>IF('Comptage Décadaire'!S130&lt;&gt;"",VLOOKUP('Comptage Décadaire'!S130,Nomenclature!$N:$O,2,FALSE),"")</f>
        <v/>
      </c>
      <c r="S129" s="30" t="str">
        <f>IF('Comptage Décadaire'!T130&lt;&gt;"",VLOOKUP('Comptage Décadaire'!T130,'Comptage Décadaire'!T:T,1,FALSE),"")</f>
        <v/>
      </c>
      <c r="T129" s="30" t="str">
        <f>IF('Comptage Décadaire'!U130&lt;&gt;"",VLOOKUP('Comptage Décadaire'!U130,'Comptage Décadaire'!U:U,1,FALSE),"")</f>
        <v/>
      </c>
      <c r="U129" s="30" t="str">
        <f>IF('Comptage Décadaire'!V130&lt;&gt;"",VLOOKUP('Comptage Décadaire'!V130,'Comptage Décadaire'!V:V,1,FALSE),"")</f>
        <v/>
      </c>
      <c r="V129" s="30" t="str">
        <f>IF('Comptage Décadaire'!W130&lt;&gt;"",VLOOKUP('Comptage Décadaire'!W130,'Comptage Décadaire'!W:W,1,FALSE),"")</f>
        <v/>
      </c>
      <c r="W129" s="30" t="str">
        <f>IF('Comptage Décadaire'!X130&lt;&gt;"",VLOOKUP('Comptage Décadaire'!X130,'Comptage Décadaire'!X:X,1,FALSE),"")</f>
        <v/>
      </c>
      <c r="X129" s="30" t="str">
        <f>IF('Comptage Décadaire'!Y130&lt;&gt;"",VLOOKUP('Comptage Décadaire'!Y130,'Comptage Décadaire'!Y:Y,1,FALSE),"")</f>
        <v/>
      </c>
      <c r="Y129" s="30" t="str">
        <f>IF('Comptage Décadaire'!Z130&lt;&gt;"",VLOOKUP('Comptage Décadaire'!Z130,Nomenclature!$F$2:$G$7,2,FALSE),"")</f>
        <v/>
      </c>
      <c r="Z129" s="30" t="str">
        <f>IF('Comptage Décadaire'!AA130&lt;&gt;"",VLOOKUP('Comptage Décadaire'!AA130,Nomenclature!$H$2:$I$31,2,FALSE),"")</f>
        <v/>
      </c>
      <c r="AA129" s="30" t="str">
        <f>IF('Comptage Décadaire'!AB130&lt;&gt;"",VLOOKUP('Comptage Décadaire'!AB130,Nomenclature!$J$2:$K$21,2,FALSE),"")</f>
        <v/>
      </c>
      <c r="AB129" s="30" t="str">
        <f>IF('Comptage Décadaire'!AC130&lt;&gt;"",VLOOKUP('Comptage Décadaire'!AC130,'Comptage Décadaire'!AC:AC,1,FALSE),"")</f>
        <v/>
      </c>
      <c r="AC129" s="32" t="str">
        <f>IF('Comptage Décadaire'!AD130&lt;&gt;"",VLOOKUP('Comptage Décadaire'!AD130,Nomenclature!$L$2:$M$8,2,FALSE),"")</f>
        <v/>
      </c>
      <c r="AD129" s="32" t="str">
        <f>IF('Comptage Décadaire'!AE130&lt;&gt;"",VLOOKUP('Comptage Décadaire'!AE130,Utilisateurs!$D$2:$F$81,3,FALSE),"")</f>
        <v/>
      </c>
      <c r="AE129" s="35" t="str">
        <f>IF('Comptage Décadaire'!AF130&lt;&gt;"",VLOOKUP('Comptage Décadaire'!AF130,'Comptage Décadaire'!AF:AF,1,FALSE),"")</f>
        <v/>
      </c>
      <c r="AF129" s="32" t="str">
        <f>IF('Comptage Décadaire'!AG130&lt;&gt;"",VLOOKUP('Comptage Décadaire'!AG130,'Comptage Décadaire'!AG:AG,1,FALSE),"")</f>
        <v/>
      </c>
    </row>
    <row r="130" spans="1:32" x14ac:dyDescent="0.25">
      <c r="A130" s="25" t="str">
        <f>IF('Comptage Décadaire'!A131&lt;&gt;"",VLOOKUP('Comptage Décadaire'!A131,'Comptage Décadaire'!A:A,1,FALSE),"")</f>
        <v/>
      </c>
      <c r="B130" s="27" t="str">
        <f>IF('Comptage Décadaire'!B131&lt;&gt;"",VLOOKUP('Comptage Décadaire'!B131,'Comptage Décadaire'!B:B,1,FALSE),"")</f>
        <v/>
      </c>
      <c r="C130" s="28" t="str">
        <f>IF('Comptage Décadaire'!C131&lt;&gt;"",VLOOKUP('Comptage Décadaire'!C131,'Comptage Décadaire'!C:C,1,FALSE),"")</f>
        <v/>
      </c>
      <c r="D130" s="29" t="str">
        <f>IF('Comptage Décadaire'!D131&lt;&gt;"",VLOOKUP('Comptage Décadaire'!D131,Sites!$A:$B,2,FALSE),"")</f>
        <v/>
      </c>
      <c r="E130" s="29" t="str">
        <f>IF('Comptage Décadaire'!E131&lt;&gt;"",VLOOKUP('Comptage Décadaire'!E131,'Comptage Décadaire'!E:E,1,FALSE),"")</f>
        <v/>
      </c>
      <c r="F130" s="29" t="str">
        <f>IF('Comptage Décadaire'!F131&lt;&gt;"",VLOOKUP('Comptage Décadaire'!F131,Nomenclature!$B$2:$C$4,2,FALSE),"")</f>
        <v/>
      </c>
      <c r="G130" s="29" t="str">
        <f>IF('Comptage Décadaire'!G131&lt;&gt;"",VLOOKUP('Comptage Décadaire'!G131,'Comptage Décadaire'!G:G,1,FALSE),"")</f>
        <v/>
      </c>
      <c r="H130" s="29" t="str">
        <f>IF('Comptage Décadaire'!H131&lt;&gt;"",VLOOKUP('Comptage Décadaire'!H131,Nomenclature!$D$2:$E$7,2,FALSE),"")</f>
        <v/>
      </c>
      <c r="I130" s="30" t="str">
        <f>IF('Comptage Décadaire'!J131&lt;&gt;"",VLOOKUP('Comptage Décadaire'!J131,'Comptage Décadaire'!J:J,1,FALSE),"")</f>
        <v/>
      </c>
      <c r="J130" s="30" t="str">
        <f>IF('Comptage Décadaire'!K131&lt;&gt;"",VLOOKUP('Comptage Décadaire'!K131,'Comptage Décadaire'!K:K,1,FALSE),"")</f>
        <v/>
      </c>
      <c r="K130" s="30" t="str">
        <f>IF('Comptage Décadaire'!L131&lt;&gt;"",VLOOKUP('Comptage Décadaire'!L131,'Comptage Décadaire'!L:L,1,FALSE),"")</f>
        <v/>
      </c>
      <c r="L130" s="31" t="str">
        <f>IF('Comptage Décadaire'!M131&lt;&gt;"",VLOOKUP('Comptage Décadaire'!M131,'Comptage Décadaire'!M:M,1,FALSE),"")</f>
        <v/>
      </c>
      <c r="M130" s="33" t="str">
        <f>IF('Comptage Décadaire'!N131&lt;&gt;"",VLOOKUP('Comptage Décadaire'!N131,Utilisateurs!$D:$F,3,FALSE),"")</f>
        <v/>
      </c>
      <c r="N130" s="33" t="str">
        <f>IF('Comptage Décadaire'!O131&lt;&gt;"",VLOOKUP('Comptage Décadaire'!O131,Utilisateurs!$D:$F,3,FALSE),"")</f>
        <v/>
      </c>
      <c r="O130" s="33" t="str">
        <f>IF('Comptage Décadaire'!P131&lt;&gt;"",VLOOKUP('Comptage Décadaire'!P131,Utilisateurs!$D:$F,3,FALSE),"")</f>
        <v/>
      </c>
      <c r="P130" s="33" t="str">
        <f>IF('Comptage Décadaire'!Q131&lt;&gt;"",VLOOKUP('Comptage Décadaire'!Q131,Utilisateurs!$D:$F,3,FALSE),"")</f>
        <v/>
      </c>
      <c r="Q130" s="33" t="str">
        <f>IF('Comptage Décadaire'!R131&lt;&gt;"",VLOOKUP('Comptage Décadaire'!R131,Utilisateurs!$D:$F,3,FALSE),"")</f>
        <v/>
      </c>
      <c r="R130" s="30" t="str">
        <f>IF('Comptage Décadaire'!S131&lt;&gt;"",VLOOKUP('Comptage Décadaire'!S131,Nomenclature!$N:$O,2,FALSE),"")</f>
        <v/>
      </c>
      <c r="S130" s="30" t="str">
        <f>IF('Comptage Décadaire'!T131&lt;&gt;"",VLOOKUP('Comptage Décadaire'!T131,'Comptage Décadaire'!T:T,1,FALSE),"")</f>
        <v/>
      </c>
      <c r="T130" s="30" t="str">
        <f>IF('Comptage Décadaire'!U131&lt;&gt;"",VLOOKUP('Comptage Décadaire'!U131,'Comptage Décadaire'!U:U,1,FALSE),"")</f>
        <v/>
      </c>
      <c r="U130" s="30" t="str">
        <f>IF('Comptage Décadaire'!V131&lt;&gt;"",VLOOKUP('Comptage Décadaire'!V131,'Comptage Décadaire'!V:V,1,FALSE),"")</f>
        <v/>
      </c>
      <c r="V130" s="30" t="str">
        <f>IF('Comptage Décadaire'!W131&lt;&gt;"",VLOOKUP('Comptage Décadaire'!W131,'Comptage Décadaire'!W:W,1,FALSE),"")</f>
        <v/>
      </c>
      <c r="W130" s="30" t="str">
        <f>IF('Comptage Décadaire'!X131&lt;&gt;"",VLOOKUP('Comptage Décadaire'!X131,'Comptage Décadaire'!X:X,1,FALSE),"")</f>
        <v/>
      </c>
      <c r="X130" s="30" t="str">
        <f>IF('Comptage Décadaire'!Y131&lt;&gt;"",VLOOKUP('Comptage Décadaire'!Y131,'Comptage Décadaire'!Y:Y,1,FALSE),"")</f>
        <v/>
      </c>
      <c r="Y130" s="30" t="str">
        <f>IF('Comptage Décadaire'!Z131&lt;&gt;"",VLOOKUP('Comptage Décadaire'!Z131,Nomenclature!$F$2:$G$7,2,FALSE),"")</f>
        <v/>
      </c>
      <c r="Z130" s="30" t="str">
        <f>IF('Comptage Décadaire'!AA131&lt;&gt;"",VLOOKUP('Comptage Décadaire'!AA131,Nomenclature!$H$2:$I$31,2,FALSE),"")</f>
        <v/>
      </c>
      <c r="AA130" s="30" t="str">
        <f>IF('Comptage Décadaire'!AB131&lt;&gt;"",VLOOKUP('Comptage Décadaire'!AB131,Nomenclature!$J$2:$K$21,2,FALSE),"")</f>
        <v/>
      </c>
      <c r="AB130" s="30" t="str">
        <f>IF('Comptage Décadaire'!AC131&lt;&gt;"",VLOOKUP('Comptage Décadaire'!AC131,'Comptage Décadaire'!AC:AC,1,FALSE),"")</f>
        <v/>
      </c>
      <c r="AC130" s="32" t="str">
        <f>IF('Comptage Décadaire'!AD131&lt;&gt;"",VLOOKUP('Comptage Décadaire'!AD131,Nomenclature!$L$2:$M$8,2,FALSE),"")</f>
        <v/>
      </c>
      <c r="AD130" s="32" t="str">
        <f>IF('Comptage Décadaire'!AE131&lt;&gt;"",VLOOKUP('Comptage Décadaire'!AE131,Utilisateurs!$D$2:$F$81,3,FALSE),"")</f>
        <v/>
      </c>
      <c r="AE130" s="35" t="str">
        <f>IF('Comptage Décadaire'!AF131&lt;&gt;"",VLOOKUP('Comptage Décadaire'!AF131,'Comptage Décadaire'!AF:AF,1,FALSE),"")</f>
        <v/>
      </c>
      <c r="AF130" s="32" t="str">
        <f>IF('Comptage Décadaire'!AG131&lt;&gt;"",VLOOKUP('Comptage Décadaire'!AG131,'Comptage Décadaire'!AG:AG,1,FALSE),"")</f>
        <v/>
      </c>
    </row>
    <row r="131" spans="1:32" x14ac:dyDescent="0.25">
      <c r="A131" s="25" t="str">
        <f>IF('Comptage Décadaire'!A132&lt;&gt;"",VLOOKUP('Comptage Décadaire'!A132,'Comptage Décadaire'!A:A,1,FALSE),"")</f>
        <v/>
      </c>
      <c r="B131" s="27" t="str">
        <f>IF('Comptage Décadaire'!B132&lt;&gt;"",VLOOKUP('Comptage Décadaire'!B132,'Comptage Décadaire'!B:B,1,FALSE),"")</f>
        <v/>
      </c>
      <c r="C131" s="28" t="str">
        <f>IF('Comptage Décadaire'!C132&lt;&gt;"",VLOOKUP('Comptage Décadaire'!C132,'Comptage Décadaire'!C:C,1,FALSE),"")</f>
        <v/>
      </c>
      <c r="D131" s="29" t="str">
        <f>IF('Comptage Décadaire'!D132&lt;&gt;"",VLOOKUP('Comptage Décadaire'!D132,Sites!$A:$B,2,FALSE),"")</f>
        <v/>
      </c>
      <c r="E131" s="29" t="str">
        <f>IF('Comptage Décadaire'!E132&lt;&gt;"",VLOOKUP('Comptage Décadaire'!E132,'Comptage Décadaire'!E:E,1,FALSE),"")</f>
        <v/>
      </c>
      <c r="F131" s="29" t="str">
        <f>IF('Comptage Décadaire'!F132&lt;&gt;"",VLOOKUP('Comptage Décadaire'!F132,Nomenclature!$B$2:$C$4,2,FALSE),"")</f>
        <v/>
      </c>
      <c r="G131" s="29" t="str">
        <f>IF('Comptage Décadaire'!G132&lt;&gt;"",VLOOKUP('Comptage Décadaire'!G132,'Comptage Décadaire'!G:G,1,FALSE),"")</f>
        <v/>
      </c>
      <c r="H131" s="29" t="str">
        <f>IF('Comptage Décadaire'!H132&lt;&gt;"",VLOOKUP('Comptage Décadaire'!H132,Nomenclature!$D$2:$E$7,2,FALSE),"")</f>
        <v/>
      </c>
      <c r="I131" s="30" t="str">
        <f>IF('Comptage Décadaire'!J132&lt;&gt;"",VLOOKUP('Comptage Décadaire'!J132,'Comptage Décadaire'!J:J,1,FALSE),"")</f>
        <v/>
      </c>
      <c r="J131" s="30" t="str">
        <f>IF('Comptage Décadaire'!K132&lt;&gt;"",VLOOKUP('Comptage Décadaire'!K132,'Comptage Décadaire'!K:K,1,FALSE),"")</f>
        <v/>
      </c>
      <c r="K131" s="30" t="str">
        <f>IF('Comptage Décadaire'!L132&lt;&gt;"",VLOOKUP('Comptage Décadaire'!L132,'Comptage Décadaire'!L:L,1,FALSE),"")</f>
        <v/>
      </c>
      <c r="L131" s="31" t="str">
        <f>IF('Comptage Décadaire'!M132&lt;&gt;"",VLOOKUP('Comptage Décadaire'!M132,'Comptage Décadaire'!M:M,1,FALSE),"")</f>
        <v/>
      </c>
      <c r="M131" s="33" t="str">
        <f>IF('Comptage Décadaire'!N132&lt;&gt;"",VLOOKUP('Comptage Décadaire'!N132,Utilisateurs!$D:$F,3,FALSE),"")</f>
        <v/>
      </c>
      <c r="N131" s="33" t="str">
        <f>IF('Comptage Décadaire'!O132&lt;&gt;"",VLOOKUP('Comptage Décadaire'!O132,Utilisateurs!$D:$F,3,FALSE),"")</f>
        <v/>
      </c>
      <c r="O131" s="33" t="str">
        <f>IF('Comptage Décadaire'!P132&lt;&gt;"",VLOOKUP('Comptage Décadaire'!P132,Utilisateurs!$D:$F,3,FALSE),"")</f>
        <v/>
      </c>
      <c r="P131" s="33" t="str">
        <f>IF('Comptage Décadaire'!Q132&lt;&gt;"",VLOOKUP('Comptage Décadaire'!Q132,Utilisateurs!$D:$F,3,FALSE),"")</f>
        <v/>
      </c>
      <c r="Q131" s="33" t="str">
        <f>IF('Comptage Décadaire'!R132&lt;&gt;"",VLOOKUP('Comptage Décadaire'!R132,Utilisateurs!$D:$F,3,FALSE),"")</f>
        <v/>
      </c>
      <c r="R131" s="30" t="str">
        <f>IF('Comptage Décadaire'!S132&lt;&gt;"",VLOOKUP('Comptage Décadaire'!S132,Nomenclature!$N:$O,2,FALSE),"")</f>
        <v/>
      </c>
      <c r="S131" s="30" t="str">
        <f>IF('Comptage Décadaire'!T132&lt;&gt;"",VLOOKUP('Comptage Décadaire'!T132,'Comptage Décadaire'!T:T,1,FALSE),"")</f>
        <v/>
      </c>
      <c r="T131" s="30" t="str">
        <f>IF('Comptage Décadaire'!U132&lt;&gt;"",VLOOKUP('Comptage Décadaire'!U132,'Comptage Décadaire'!U:U,1,FALSE),"")</f>
        <v/>
      </c>
      <c r="U131" s="30" t="str">
        <f>IF('Comptage Décadaire'!V132&lt;&gt;"",VLOOKUP('Comptage Décadaire'!V132,'Comptage Décadaire'!V:V,1,FALSE),"")</f>
        <v/>
      </c>
      <c r="V131" s="30" t="str">
        <f>IF('Comptage Décadaire'!W132&lt;&gt;"",VLOOKUP('Comptage Décadaire'!W132,'Comptage Décadaire'!W:W,1,FALSE),"")</f>
        <v/>
      </c>
      <c r="W131" s="30" t="str">
        <f>IF('Comptage Décadaire'!X132&lt;&gt;"",VLOOKUP('Comptage Décadaire'!X132,'Comptage Décadaire'!X:X,1,FALSE),"")</f>
        <v/>
      </c>
      <c r="X131" s="30" t="str">
        <f>IF('Comptage Décadaire'!Y132&lt;&gt;"",VLOOKUP('Comptage Décadaire'!Y132,'Comptage Décadaire'!Y:Y,1,FALSE),"")</f>
        <v/>
      </c>
      <c r="Y131" s="30" t="str">
        <f>IF('Comptage Décadaire'!Z132&lt;&gt;"",VLOOKUP('Comptage Décadaire'!Z132,Nomenclature!$F$2:$G$7,2,FALSE),"")</f>
        <v/>
      </c>
      <c r="Z131" s="30" t="str">
        <f>IF('Comptage Décadaire'!AA132&lt;&gt;"",VLOOKUP('Comptage Décadaire'!AA132,Nomenclature!$H$2:$I$31,2,FALSE),"")</f>
        <v/>
      </c>
      <c r="AA131" s="30" t="str">
        <f>IF('Comptage Décadaire'!AB132&lt;&gt;"",VLOOKUP('Comptage Décadaire'!AB132,Nomenclature!$J$2:$K$21,2,FALSE),"")</f>
        <v/>
      </c>
      <c r="AB131" s="30" t="str">
        <f>IF('Comptage Décadaire'!AC132&lt;&gt;"",VLOOKUP('Comptage Décadaire'!AC132,'Comptage Décadaire'!AC:AC,1,FALSE),"")</f>
        <v/>
      </c>
      <c r="AC131" s="32" t="str">
        <f>IF('Comptage Décadaire'!AD132&lt;&gt;"",VLOOKUP('Comptage Décadaire'!AD132,Nomenclature!$L$2:$M$8,2,FALSE),"")</f>
        <v/>
      </c>
      <c r="AD131" s="32" t="str">
        <f>IF('Comptage Décadaire'!AE132&lt;&gt;"",VLOOKUP('Comptage Décadaire'!AE132,Utilisateurs!$D$2:$F$81,3,FALSE),"")</f>
        <v/>
      </c>
      <c r="AE131" s="35" t="str">
        <f>IF('Comptage Décadaire'!AF132&lt;&gt;"",VLOOKUP('Comptage Décadaire'!AF132,'Comptage Décadaire'!AF:AF,1,FALSE),"")</f>
        <v/>
      </c>
      <c r="AF131" s="32" t="str">
        <f>IF('Comptage Décadaire'!AG132&lt;&gt;"",VLOOKUP('Comptage Décadaire'!AG132,'Comptage Décadaire'!AG:AG,1,FALSE),"")</f>
        <v/>
      </c>
    </row>
    <row r="132" spans="1:32" x14ac:dyDescent="0.25">
      <c r="A132" s="25" t="str">
        <f>IF('Comptage Décadaire'!A133&lt;&gt;"",VLOOKUP('Comptage Décadaire'!A133,'Comptage Décadaire'!A:A,1,FALSE),"")</f>
        <v/>
      </c>
      <c r="B132" s="27" t="str">
        <f>IF('Comptage Décadaire'!B133&lt;&gt;"",VLOOKUP('Comptage Décadaire'!B133,'Comptage Décadaire'!B:B,1,FALSE),"")</f>
        <v/>
      </c>
      <c r="C132" s="28" t="str">
        <f>IF('Comptage Décadaire'!C133&lt;&gt;"",VLOOKUP('Comptage Décadaire'!C133,'Comptage Décadaire'!C:C,1,FALSE),"")</f>
        <v/>
      </c>
      <c r="D132" s="29" t="str">
        <f>IF('Comptage Décadaire'!D133&lt;&gt;"",VLOOKUP('Comptage Décadaire'!D133,Sites!$A:$B,2,FALSE),"")</f>
        <v/>
      </c>
      <c r="E132" s="29" t="str">
        <f>IF('Comptage Décadaire'!E133&lt;&gt;"",VLOOKUP('Comptage Décadaire'!E133,'Comptage Décadaire'!E:E,1,FALSE),"")</f>
        <v/>
      </c>
      <c r="F132" s="29" t="str">
        <f>IF('Comptage Décadaire'!F133&lt;&gt;"",VLOOKUP('Comptage Décadaire'!F133,Nomenclature!$B$2:$C$4,2,FALSE),"")</f>
        <v/>
      </c>
      <c r="G132" s="29" t="str">
        <f>IF('Comptage Décadaire'!G133&lt;&gt;"",VLOOKUP('Comptage Décadaire'!G133,'Comptage Décadaire'!G:G,1,FALSE),"")</f>
        <v/>
      </c>
      <c r="H132" s="29" t="str">
        <f>IF('Comptage Décadaire'!H133&lt;&gt;"",VLOOKUP('Comptage Décadaire'!H133,Nomenclature!$D$2:$E$7,2,FALSE),"")</f>
        <v/>
      </c>
      <c r="I132" s="30" t="str">
        <f>IF('Comptage Décadaire'!J133&lt;&gt;"",VLOOKUP('Comptage Décadaire'!J133,'Comptage Décadaire'!J:J,1,FALSE),"")</f>
        <v/>
      </c>
      <c r="J132" s="30" t="str">
        <f>IF('Comptage Décadaire'!K133&lt;&gt;"",VLOOKUP('Comptage Décadaire'!K133,'Comptage Décadaire'!K:K,1,FALSE),"")</f>
        <v/>
      </c>
      <c r="K132" s="30" t="str">
        <f>IF('Comptage Décadaire'!L133&lt;&gt;"",VLOOKUP('Comptage Décadaire'!L133,'Comptage Décadaire'!L:L,1,FALSE),"")</f>
        <v/>
      </c>
      <c r="L132" s="31" t="str">
        <f>IF('Comptage Décadaire'!M133&lt;&gt;"",VLOOKUP('Comptage Décadaire'!M133,'Comptage Décadaire'!M:M,1,FALSE),"")</f>
        <v/>
      </c>
      <c r="M132" s="33" t="str">
        <f>IF('Comptage Décadaire'!N133&lt;&gt;"",VLOOKUP('Comptage Décadaire'!N133,Utilisateurs!$D:$F,3,FALSE),"")</f>
        <v/>
      </c>
      <c r="N132" s="33" t="str">
        <f>IF('Comptage Décadaire'!O133&lt;&gt;"",VLOOKUP('Comptage Décadaire'!O133,Utilisateurs!$D:$F,3,FALSE),"")</f>
        <v/>
      </c>
      <c r="O132" s="33" t="str">
        <f>IF('Comptage Décadaire'!P133&lt;&gt;"",VLOOKUP('Comptage Décadaire'!P133,Utilisateurs!$D:$F,3,FALSE),"")</f>
        <v/>
      </c>
      <c r="P132" s="33" t="str">
        <f>IF('Comptage Décadaire'!Q133&lt;&gt;"",VLOOKUP('Comptage Décadaire'!Q133,Utilisateurs!$D:$F,3,FALSE),"")</f>
        <v/>
      </c>
      <c r="Q132" s="33" t="str">
        <f>IF('Comptage Décadaire'!R133&lt;&gt;"",VLOOKUP('Comptage Décadaire'!R133,Utilisateurs!$D:$F,3,FALSE),"")</f>
        <v/>
      </c>
      <c r="R132" s="30" t="str">
        <f>IF('Comptage Décadaire'!S133&lt;&gt;"",VLOOKUP('Comptage Décadaire'!S133,Nomenclature!$N:$O,2,FALSE),"")</f>
        <v/>
      </c>
      <c r="S132" s="30" t="str">
        <f>IF('Comptage Décadaire'!T133&lt;&gt;"",VLOOKUP('Comptage Décadaire'!T133,'Comptage Décadaire'!T:T,1,FALSE),"")</f>
        <v/>
      </c>
      <c r="T132" s="30" t="str">
        <f>IF('Comptage Décadaire'!U133&lt;&gt;"",VLOOKUP('Comptage Décadaire'!U133,'Comptage Décadaire'!U:U,1,FALSE),"")</f>
        <v/>
      </c>
      <c r="U132" s="30" t="str">
        <f>IF('Comptage Décadaire'!V133&lt;&gt;"",VLOOKUP('Comptage Décadaire'!V133,'Comptage Décadaire'!V:V,1,FALSE),"")</f>
        <v/>
      </c>
      <c r="V132" s="30" t="str">
        <f>IF('Comptage Décadaire'!W133&lt;&gt;"",VLOOKUP('Comptage Décadaire'!W133,'Comptage Décadaire'!W:W,1,FALSE),"")</f>
        <v/>
      </c>
      <c r="W132" s="30" t="str">
        <f>IF('Comptage Décadaire'!X133&lt;&gt;"",VLOOKUP('Comptage Décadaire'!X133,'Comptage Décadaire'!X:X,1,FALSE),"")</f>
        <v/>
      </c>
      <c r="X132" s="30" t="str">
        <f>IF('Comptage Décadaire'!Y133&lt;&gt;"",VLOOKUP('Comptage Décadaire'!Y133,'Comptage Décadaire'!Y:Y,1,FALSE),"")</f>
        <v/>
      </c>
      <c r="Y132" s="30" t="str">
        <f>IF('Comptage Décadaire'!Z133&lt;&gt;"",VLOOKUP('Comptage Décadaire'!Z133,Nomenclature!$F$2:$G$7,2,FALSE),"")</f>
        <v/>
      </c>
      <c r="Z132" s="30" t="str">
        <f>IF('Comptage Décadaire'!AA133&lt;&gt;"",VLOOKUP('Comptage Décadaire'!AA133,Nomenclature!$H$2:$I$31,2,FALSE),"")</f>
        <v/>
      </c>
      <c r="AA132" s="30" t="str">
        <f>IF('Comptage Décadaire'!AB133&lt;&gt;"",VLOOKUP('Comptage Décadaire'!AB133,Nomenclature!$J$2:$K$21,2,FALSE),"")</f>
        <v/>
      </c>
      <c r="AB132" s="30" t="str">
        <f>IF('Comptage Décadaire'!AC133&lt;&gt;"",VLOOKUP('Comptage Décadaire'!AC133,'Comptage Décadaire'!AC:AC,1,FALSE),"")</f>
        <v/>
      </c>
      <c r="AC132" s="32" t="str">
        <f>IF('Comptage Décadaire'!AD133&lt;&gt;"",VLOOKUP('Comptage Décadaire'!AD133,Nomenclature!$L$2:$M$8,2,FALSE),"")</f>
        <v/>
      </c>
      <c r="AD132" s="32" t="str">
        <f>IF('Comptage Décadaire'!AE133&lt;&gt;"",VLOOKUP('Comptage Décadaire'!AE133,Utilisateurs!$D$2:$F$81,3,FALSE),"")</f>
        <v/>
      </c>
      <c r="AE132" s="35" t="str">
        <f>IF('Comptage Décadaire'!AF133&lt;&gt;"",VLOOKUP('Comptage Décadaire'!AF133,'Comptage Décadaire'!AF:AF,1,FALSE),"")</f>
        <v/>
      </c>
      <c r="AF132" s="32" t="str">
        <f>IF('Comptage Décadaire'!AG133&lt;&gt;"",VLOOKUP('Comptage Décadaire'!AG133,'Comptage Décadaire'!AG:AG,1,FALSE),"")</f>
        <v/>
      </c>
    </row>
    <row r="133" spans="1:32" x14ac:dyDescent="0.25">
      <c r="A133" s="25" t="str">
        <f>IF('Comptage Décadaire'!A134&lt;&gt;"",VLOOKUP('Comptage Décadaire'!A134,'Comptage Décadaire'!A:A,1,FALSE),"")</f>
        <v/>
      </c>
      <c r="B133" s="27" t="str">
        <f>IF('Comptage Décadaire'!B134&lt;&gt;"",VLOOKUP('Comptage Décadaire'!B134,'Comptage Décadaire'!B:B,1,FALSE),"")</f>
        <v/>
      </c>
      <c r="C133" s="28" t="str">
        <f>IF('Comptage Décadaire'!C134&lt;&gt;"",VLOOKUP('Comptage Décadaire'!C134,'Comptage Décadaire'!C:C,1,FALSE),"")</f>
        <v/>
      </c>
      <c r="D133" s="29" t="str">
        <f>IF('Comptage Décadaire'!D134&lt;&gt;"",VLOOKUP('Comptage Décadaire'!D134,Sites!$A:$B,2,FALSE),"")</f>
        <v/>
      </c>
      <c r="E133" s="29" t="str">
        <f>IF('Comptage Décadaire'!E134&lt;&gt;"",VLOOKUP('Comptage Décadaire'!E134,'Comptage Décadaire'!E:E,1,FALSE),"")</f>
        <v/>
      </c>
      <c r="F133" s="29" t="str">
        <f>IF('Comptage Décadaire'!F134&lt;&gt;"",VLOOKUP('Comptage Décadaire'!F134,Nomenclature!$B$2:$C$4,2,FALSE),"")</f>
        <v/>
      </c>
      <c r="G133" s="29" t="str">
        <f>IF('Comptage Décadaire'!G134&lt;&gt;"",VLOOKUP('Comptage Décadaire'!G134,'Comptage Décadaire'!G:G,1,FALSE),"")</f>
        <v/>
      </c>
      <c r="H133" s="29" t="str">
        <f>IF('Comptage Décadaire'!H134&lt;&gt;"",VLOOKUP('Comptage Décadaire'!H134,Nomenclature!$D$2:$E$7,2,FALSE),"")</f>
        <v/>
      </c>
      <c r="I133" s="30" t="str">
        <f>IF('Comptage Décadaire'!J134&lt;&gt;"",VLOOKUP('Comptage Décadaire'!J134,'Comptage Décadaire'!J:J,1,FALSE),"")</f>
        <v/>
      </c>
      <c r="J133" s="30" t="str">
        <f>IF('Comptage Décadaire'!K134&lt;&gt;"",VLOOKUP('Comptage Décadaire'!K134,'Comptage Décadaire'!K:K,1,FALSE),"")</f>
        <v/>
      </c>
      <c r="K133" s="30" t="str">
        <f>IF('Comptage Décadaire'!L134&lt;&gt;"",VLOOKUP('Comptage Décadaire'!L134,'Comptage Décadaire'!L:L,1,FALSE),"")</f>
        <v/>
      </c>
      <c r="L133" s="31" t="str">
        <f>IF('Comptage Décadaire'!M134&lt;&gt;"",VLOOKUP('Comptage Décadaire'!M134,'Comptage Décadaire'!M:M,1,FALSE),"")</f>
        <v/>
      </c>
      <c r="M133" s="33" t="str">
        <f>IF('Comptage Décadaire'!N134&lt;&gt;"",VLOOKUP('Comptage Décadaire'!N134,Utilisateurs!$D:$F,3,FALSE),"")</f>
        <v/>
      </c>
      <c r="N133" s="33" t="str">
        <f>IF('Comptage Décadaire'!O134&lt;&gt;"",VLOOKUP('Comptage Décadaire'!O134,Utilisateurs!$D:$F,3,FALSE),"")</f>
        <v/>
      </c>
      <c r="O133" s="33" t="str">
        <f>IF('Comptage Décadaire'!P134&lt;&gt;"",VLOOKUP('Comptage Décadaire'!P134,Utilisateurs!$D:$F,3,FALSE),"")</f>
        <v/>
      </c>
      <c r="P133" s="33" t="str">
        <f>IF('Comptage Décadaire'!Q134&lt;&gt;"",VLOOKUP('Comptage Décadaire'!Q134,Utilisateurs!$D:$F,3,FALSE),"")</f>
        <v/>
      </c>
      <c r="Q133" s="33" t="str">
        <f>IF('Comptage Décadaire'!R134&lt;&gt;"",VLOOKUP('Comptage Décadaire'!R134,Utilisateurs!$D:$F,3,FALSE),"")</f>
        <v/>
      </c>
      <c r="R133" s="30" t="str">
        <f>IF('Comptage Décadaire'!S134&lt;&gt;"",VLOOKUP('Comptage Décadaire'!S134,Nomenclature!$N:$O,2,FALSE),"")</f>
        <v/>
      </c>
      <c r="S133" s="30" t="str">
        <f>IF('Comptage Décadaire'!T134&lt;&gt;"",VLOOKUP('Comptage Décadaire'!T134,'Comptage Décadaire'!T:T,1,FALSE),"")</f>
        <v/>
      </c>
      <c r="T133" s="30" t="str">
        <f>IF('Comptage Décadaire'!U134&lt;&gt;"",VLOOKUP('Comptage Décadaire'!U134,'Comptage Décadaire'!U:U,1,FALSE),"")</f>
        <v/>
      </c>
      <c r="U133" s="30" t="str">
        <f>IF('Comptage Décadaire'!V134&lt;&gt;"",VLOOKUP('Comptage Décadaire'!V134,'Comptage Décadaire'!V:V,1,FALSE),"")</f>
        <v/>
      </c>
      <c r="V133" s="30" t="str">
        <f>IF('Comptage Décadaire'!W134&lt;&gt;"",VLOOKUP('Comptage Décadaire'!W134,'Comptage Décadaire'!W:W,1,FALSE),"")</f>
        <v/>
      </c>
      <c r="W133" s="30" t="str">
        <f>IF('Comptage Décadaire'!X134&lt;&gt;"",VLOOKUP('Comptage Décadaire'!X134,'Comptage Décadaire'!X:X,1,FALSE),"")</f>
        <v/>
      </c>
      <c r="X133" s="30" t="str">
        <f>IF('Comptage Décadaire'!Y134&lt;&gt;"",VLOOKUP('Comptage Décadaire'!Y134,'Comptage Décadaire'!Y:Y,1,FALSE),"")</f>
        <v/>
      </c>
      <c r="Y133" s="30" t="str">
        <f>IF('Comptage Décadaire'!Z134&lt;&gt;"",VLOOKUP('Comptage Décadaire'!Z134,Nomenclature!$F$2:$G$7,2,FALSE),"")</f>
        <v/>
      </c>
      <c r="Z133" s="30" t="str">
        <f>IF('Comptage Décadaire'!AA134&lt;&gt;"",VLOOKUP('Comptage Décadaire'!AA134,Nomenclature!$H$2:$I$31,2,FALSE),"")</f>
        <v/>
      </c>
      <c r="AA133" s="30" t="str">
        <f>IF('Comptage Décadaire'!AB134&lt;&gt;"",VLOOKUP('Comptage Décadaire'!AB134,Nomenclature!$J$2:$K$21,2,FALSE),"")</f>
        <v/>
      </c>
      <c r="AB133" s="30" t="str">
        <f>IF('Comptage Décadaire'!AC134&lt;&gt;"",VLOOKUP('Comptage Décadaire'!AC134,'Comptage Décadaire'!AC:AC,1,FALSE),"")</f>
        <v/>
      </c>
      <c r="AC133" s="32" t="str">
        <f>IF('Comptage Décadaire'!AD134&lt;&gt;"",VLOOKUP('Comptage Décadaire'!AD134,Nomenclature!$L$2:$M$8,2,FALSE),"")</f>
        <v/>
      </c>
      <c r="AD133" s="32" t="str">
        <f>IF('Comptage Décadaire'!AE134&lt;&gt;"",VLOOKUP('Comptage Décadaire'!AE134,Utilisateurs!$D$2:$F$81,3,FALSE),"")</f>
        <v/>
      </c>
      <c r="AE133" s="35" t="str">
        <f>IF('Comptage Décadaire'!AF134&lt;&gt;"",VLOOKUP('Comptage Décadaire'!AF134,'Comptage Décadaire'!AF:AF,1,FALSE),"")</f>
        <v/>
      </c>
      <c r="AF133" s="32" t="str">
        <f>IF('Comptage Décadaire'!AG134&lt;&gt;"",VLOOKUP('Comptage Décadaire'!AG134,'Comptage Décadaire'!AG:AG,1,FALSE),"")</f>
        <v/>
      </c>
    </row>
    <row r="134" spans="1:32" x14ac:dyDescent="0.25">
      <c r="A134" s="25" t="str">
        <f>IF('Comptage Décadaire'!A135&lt;&gt;"",VLOOKUP('Comptage Décadaire'!A135,'Comptage Décadaire'!A:A,1,FALSE),"")</f>
        <v/>
      </c>
      <c r="B134" s="27" t="str">
        <f>IF('Comptage Décadaire'!B135&lt;&gt;"",VLOOKUP('Comptage Décadaire'!B135,'Comptage Décadaire'!B:B,1,FALSE),"")</f>
        <v/>
      </c>
      <c r="C134" s="28" t="str">
        <f>IF('Comptage Décadaire'!C135&lt;&gt;"",VLOOKUP('Comptage Décadaire'!C135,'Comptage Décadaire'!C:C,1,FALSE),"")</f>
        <v/>
      </c>
      <c r="D134" s="29" t="str">
        <f>IF('Comptage Décadaire'!D135&lt;&gt;"",VLOOKUP('Comptage Décadaire'!D135,Sites!$A:$B,2,FALSE),"")</f>
        <v/>
      </c>
      <c r="E134" s="29" t="str">
        <f>IF('Comptage Décadaire'!E135&lt;&gt;"",VLOOKUP('Comptage Décadaire'!E135,'Comptage Décadaire'!E:E,1,FALSE),"")</f>
        <v/>
      </c>
      <c r="F134" s="29" t="str">
        <f>IF('Comptage Décadaire'!F135&lt;&gt;"",VLOOKUP('Comptage Décadaire'!F135,Nomenclature!$B$2:$C$4,2,FALSE),"")</f>
        <v/>
      </c>
      <c r="G134" s="29" t="str">
        <f>IF('Comptage Décadaire'!G135&lt;&gt;"",VLOOKUP('Comptage Décadaire'!G135,'Comptage Décadaire'!G:G,1,FALSE),"")</f>
        <v/>
      </c>
      <c r="H134" s="29" t="str">
        <f>IF('Comptage Décadaire'!H135&lt;&gt;"",VLOOKUP('Comptage Décadaire'!H135,Nomenclature!$D$2:$E$7,2,FALSE),"")</f>
        <v/>
      </c>
      <c r="I134" s="30" t="str">
        <f>IF('Comptage Décadaire'!J135&lt;&gt;"",VLOOKUP('Comptage Décadaire'!J135,'Comptage Décadaire'!J:J,1,FALSE),"")</f>
        <v/>
      </c>
      <c r="J134" s="30" t="str">
        <f>IF('Comptage Décadaire'!K135&lt;&gt;"",VLOOKUP('Comptage Décadaire'!K135,'Comptage Décadaire'!K:K,1,FALSE),"")</f>
        <v/>
      </c>
      <c r="K134" s="30" t="str">
        <f>IF('Comptage Décadaire'!L135&lt;&gt;"",VLOOKUP('Comptage Décadaire'!L135,'Comptage Décadaire'!L:L,1,FALSE),"")</f>
        <v/>
      </c>
      <c r="L134" s="31" t="str">
        <f>IF('Comptage Décadaire'!M135&lt;&gt;"",VLOOKUP('Comptage Décadaire'!M135,'Comptage Décadaire'!M:M,1,FALSE),"")</f>
        <v/>
      </c>
      <c r="M134" s="33" t="str">
        <f>IF('Comptage Décadaire'!N135&lt;&gt;"",VLOOKUP('Comptage Décadaire'!N135,Utilisateurs!$D:$F,3,FALSE),"")</f>
        <v/>
      </c>
      <c r="N134" s="33" t="str">
        <f>IF('Comptage Décadaire'!O135&lt;&gt;"",VLOOKUP('Comptage Décadaire'!O135,Utilisateurs!$D:$F,3,FALSE),"")</f>
        <v/>
      </c>
      <c r="O134" s="33" t="str">
        <f>IF('Comptage Décadaire'!P135&lt;&gt;"",VLOOKUP('Comptage Décadaire'!P135,Utilisateurs!$D:$F,3,FALSE),"")</f>
        <v/>
      </c>
      <c r="P134" s="33" t="str">
        <f>IF('Comptage Décadaire'!Q135&lt;&gt;"",VLOOKUP('Comptage Décadaire'!Q135,Utilisateurs!$D:$F,3,FALSE),"")</f>
        <v/>
      </c>
      <c r="Q134" s="33" t="str">
        <f>IF('Comptage Décadaire'!R135&lt;&gt;"",VLOOKUP('Comptage Décadaire'!R135,Utilisateurs!$D:$F,3,FALSE),"")</f>
        <v/>
      </c>
      <c r="R134" s="30" t="str">
        <f>IF('Comptage Décadaire'!S135&lt;&gt;"",VLOOKUP('Comptage Décadaire'!S135,Nomenclature!$N:$O,2,FALSE),"")</f>
        <v/>
      </c>
      <c r="S134" s="30" t="str">
        <f>IF('Comptage Décadaire'!T135&lt;&gt;"",VLOOKUP('Comptage Décadaire'!T135,'Comptage Décadaire'!T:T,1,FALSE),"")</f>
        <v/>
      </c>
      <c r="T134" s="30" t="str">
        <f>IF('Comptage Décadaire'!U135&lt;&gt;"",VLOOKUP('Comptage Décadaire'!U135,'Comptage Décadaire'!U:U,1,FALSE),"")</f>
        <v/>
      </c>
      <c r="U134" s="30" t="str">
        <f>IF('Comptage Décadaire'!V135&lt;&gt;"",VLOOKUP('Comptage Décadaire'!V135,'Comptage Décadaire'!V:V,1,FALSE),"")</f>
        <v/>
      </c>
      <c r="V134" s="30" t="str">
        <f>IF('Comptage Décadaire'!W135&lt;&gt;"",VLOOKUP('Comptage Décadaire'!W135,'Comptage Décadaire'!W:W,1,FALSE),"")</f>
        <v/>
      </c>
      <c r="W134" s="30" t="str">
        <f>IF('Comptage Décadaire'!X135&lt;&gt;"",VLOOKUP('Comptage Décadaire'!X135,'Comptage Décadaire'!X:X,1,FALSE),"")</f>
        <v/>
      </c>
      <c r="X134" s="30" t="str">
        <f>IF('Comptage Décadaire'!Y135&lt;&gt;"",VLOOKUP('Comptage Décadaire'!Y135,'Comptage Décadaire'!Y:Y,1,FALSE),"")</f>
        <v/>
      </c>
      <c r="Y134" s="30" t="str">
        <f>IF('Comptage Décadaire'!Z135&lt;&gt;"",VLOOKUP('Comptage Décadaire'!Z135,Nomenclature!$F$2:$G$7,2,FALSE),"")</f>
        <v/>
      </c>
      <c r="Z134" s="30" t="str">
        <f>IF('Comptage Décadaire'!AA135&lt;&gt;"",VLOOKUP('Comptage Décadaire'!AA135,Nomenclature!$H$2:$I$31,2,FALSE),"")</f>
        <v/>
      </c>
      <c r="AA134" s="30" t="str">
        <f>IF('Comptage Décadaire'!AB135&lt;&gt;"",VLOOKUP('Comptage Décadaire'!AB135,Nomenclature!$J$2:$K$21,2,FALSE),"")</f>
        <v/>
      </c>
      <c r="AB134" s="30" t="str">
        <f>IF('Comptage Décadaire'!AC135&lt;&gt;"",VLOOKUP('Comptage Décadaire'!AC135,'Comptage Décadaire'!AC:AC,1,FALSE),"")</f>
        <v/>
      </c>
      <c r="AC134" s="32" t="str">
        <f>IF('Comptage Décadaire'!AD135&lt;&gt;"",VLOOKUP('Comptage Décadaire'!AD135,Nomenclature!$L$2:$M$8,2,FALSE),"")</f>
        <v/>
      </c>
      <c r="AD134" s="32" t="str">
        <f>IF('Comptage Décadaire'!AE135&lt;&gt;"",VLOOKUP('Comptage Décadaire'!AE135,Utilisateurs!$D$2:$F$81,3,FALSE),"")</f>
        <v/>
      </c>
      <c r="AE134" s="35" t="str">
        <f>IF('Comptage Décadaire'!AF135&lt;&gt;"",VLOOKUP('Comptage Décadaire'!AF135,'Comptage Décadaire'!AF:AF,1,FALSE),"")</f>
        <v/>
      </c>
      <c r="AF134" s="32" t="str">
        <f>IF('Comptage Décadaire'!AG135&lt;&gt;"",VLOOKUP('Comptage Décadaire'!AG135,'Comptage Décadaire'!AG:AG,1,FALSE),"")</f>
        <v/>
      </c>
    </row>
    <row r="135" spans="1:32" x14ac:dyDescent="0.25">
      <c r="A135" s="25" t="str">
        <f>IF('Comptage Décadaire'!A136&lt;&gt;"",VLOOKUP('Comptage Décadaire'!A136,'Comptage Décadaire'!A:A,1,FALSE),"")</f>
        <v/>
      </c>
      <c r="B135" s="27" t="str">
        <f>IF('Comptage Décadaire'!B136&lt;&gt;"",VLOOKUP('Comptage Décadaire'!B136,'Comptage Décadaire'!B:B,1,FALSE),"")</f>
        <v/>
      </c>
      <c r="C135" s="28" t="str">
        <f>IF('Comptage Décadaire'!C136&lt;&gt;"",VLOOKUP('Comptage Décadaire'!C136,'Comptage Décadaire'!C:C,1,FALSE),"")</f>
        <v/>
      </c>
      <c r="D135" s="29" t="str">
        <f>IF('Comptage Décadaire'!D136&lt;&gt;"",VLOOKUP('Comptage Décadaire'!D136,Sites!$A:$B,2,FALSE),"")</f>
        <v/>
      </c>
      <c r="E135" s="29" t="str">
        <f>IF('Comptage Décadaire'!E136&lt;&gt;"",VLOOKUP('Comptage Décadaire'!E136,'Comptage Décadaire'!E:E,1,FALSE),"")</f>
        <v/>
      </c>
      <c r="F135" s="29" t="str">
        <f>IF('Comptage Décadaire'!F136&lt;&gt;"",VLOOKUP('Comptage Décadaire'!F136,Nomenclature!$B$2:$C$4,2,FALSE),"")</f>
        <v/>
      </c>
      <c r="G135" s="29" t="str">
        <f>IF('Comptage Décadaire'!G136&lt;&gt;"",VLOOKUP('Comptage Décadaire'!G136,'Comptage Décadaire'!G:G,1,FALSE),"")</f>
        <v/>
      </c>
      <c r="H135" s="29" t="str">
        <f>IF('Comptage Décadaire'!H136&lt;&gt;"",VLOOKUP('Comptage Décadaire'!H136,Nomenclature!$D$2:$E$7,2,FALSE),"")</f>
        <v/>
      </c>
      <c r="I135" s="30" t="str">
        <f>IF('Comptage Décadaire'!J136&lt;&gt;"",VLOOKUP('Comptage Décadaire'!J136,'Comptage Décadaire'!J:J,1,FALSE),"")</f>
        <v/>
      </c>
      <c r="J135" s="30" t="str">
        <f>IF('Comptage Décadaire'!K136&lt;&gt;"",VLOOKUP('Comptage Décadaire'!K136,'Comptage Décadaire'!K:K,1,FALSE),"")</f>
        <v/>
      </c>
      <c r="K135" s="30" t="str">
        <f>IF('Comptage Décadaire'!L136&lt;&gt;"",VLOOKUP('Comptage Décadaire'!L136,'Comptage Décadaire'!L:L,1,FALSE),"")</f>
        <v/>
      </c>
      <c r="L135" s="31" t="str">
        <f>IF('Comptage Décadaire'!M136&lt;&gt;"",VLOOKUP('Comptage Décadaire'!M136,'Comptage Décadaire'!M:M,1,FALSE),"")</f>
        <v/>
      </c>
      <c r="M135" s="33" t="str">
        <f>IF('Comptage Décadaire'!N136&lt;&gt;"",VLOOKUP('Comptage Décadaire'!N136,Utilisateurs!$D:$F,3,FALSE),"")</f>
        <v/>
      </c>
      <c r="N135" s="33" t="str">
        <f>IF('Comptage Décadaire'!O136&lt;&gt;"",VLOOKUP('Comptage Décadaire'!O136,Utilisateurs!$D:$F,3,FALSE),"")</f>
        <v/>
      </c>
      <c r="O135" s="33" t="str">
        <f>IF('Comptage Décadaire'!P136&lt;&gt;"",VLOOKUP('Comptage Décadaire'!P136,Utilisateurs!$D:$F,3,FALSE),"")</f>
        <v/>
      </c>
      <c r="P135" s="33" t="str">
        <f>IF('Comptage Décadaire'!Q136&lt;&gt;"",VLOOKUP('Comptage Décadaire'!Q136,Utilisateurs!$D:$F,3,FALSE),"")</f>
        <v/>
      </c>
      <c r="Q135" s="33" t="str">
        <f>IF('Comptage Décadaire'!R136&lt;&gt;"",VLOOKUP('Comptage Décadaire'!R136,Utilisateurs!$D:$F,3,FALSE),"")</f>
        <v/>
      </c>
      <c r="R135" s="30" t="str">
        <f>IF('Comptage Décadaire'!S136&lt;&gt;"",VLOOKUP('Comptage Décadaire'!S136,Nomenclature!$N:$O,2,FALSE),"")</f>
        <v/>
      </c>
      <c r="S135" s="30" t="str">
        <f>IF('Comptage Décadaire'!T136&lt;&gt;"",VLOOKUP('Comptage Décadaire'!T136,'Comptage Décadaire'!T:T,1,FALSE),"")</f>
        <v/>
      </c>
      <c r="T135" s="30" t="str">
        <f>IF('Comptage Décadaire'!U136&lt;&gt;"",VLOOKUP('Comptage Décadaire'!U136,'Comptage Décadaire'!U:U,1,FALSE),"")</f>
        <v/>
      </c>
      <c r="U135" s="30" t="str">
        <f>IF('Comptage Décadaire'!V136&lt;&gt;"",VLOOKUP('Comptage Décadaire'!V136,'Comptage Décadaire'!V:V,1,FALSE),"")</f>
        <v/>
      </c>
      <c r="V135" s="30" t="str">
        <f>IF('Comptage Décadaire'!W136&lt;&gt;"",VLOOKUP('Comptage Décadaire'!W136,'Comptage Décadaire'!W:W,1,FALSE),"")</f>
        <v/>
      </c>
      <c r="W135" s="30" t="str">
        <f>IF('Comptage Décadaire'!X136&lt;&gt;"",VLOOKUP('Comptage Décadaire'!X136,'Comptage Décadaire'!X:X,1,FALSE),"")</f>
        <v/>
      </c>
      <c r="X135" s="30" t="str">
        <f>IF('Comptage Décadaire'!Y136&lt;&gt;"",VLOOKUP('Comptage Décadaire'!Y136,'Comptage Décadaire'!Y:Y,1,FALSE),"")</f>
        <v/>
      </c>
      <c r="Y135" s="30" t="str">
        <f>IF('Comptage Décadaire'!Z136&lt;&gt;"",VLOOKUP('Comptage Décadaire'!Z136,Nomenclature!$F$2:$G$7,2,FALSE),"")</f>
        <v/>
      </c>
      <c r="Z135" s="30" t="str">
        <f>IF('Comptage Décadaire'!AA136&lt;&gt;"",VLOOKUP('Comptage Décadaire'!AA136,Nomenclature!$H$2:$I$31,2,FALSE),"")</f>
        <v/>
      </c>
      <c r="AA135" s="30" t="str">
        <f>IF('Comptage Décadaire'!AB136&lt;&gt;"",VLOOKUP('Comptage Décadaire'!AB136,Nomenclature!$J$2:$K$21,2,FALSE),"")</f>
        <v/>
      </c>
      <c r="AB135" s="30" t="str">
        <f>IF('Comptage Décadaire'!AC136&lt;&gt;"",VLOOKUP('Comptage Décadaire'!AC136,'Comptage Décadaire'!AC:AC,1,FALSE),"")</f>
        <v/>
      </c>
      <c r="AC135" s="32" t="str">
        <f>IF('Comptage Décadaire'!AD136&lt;&gt;"",VLOOKUP('Comptage Décadaire'!AD136,Nomenclature!$L$2:$M$8,2,FALSE),"")</f>
        <v/>
      </c>
      <c r="AD135" s="32" t="str">
        <f>IF('Comptage Décadaire'!AE136&lt;&gt;"",VLOOKUP('Comptage Décadaire'!AE136,Utilisateurs!$D$2:$F$81,3,FALSE),"")</f>
        <v/>
      </c>
      <c r="AE135" s="35" t="str">
        <f>IF('Comptage Décadaire'!AF136&lt;&gt;"",VLOOKUP('Comptage Décadaire'!AF136,'Comptage Décadaire'!AF:AF,1,FALSE),"")</f>
        <v/>
      </c>
      <c r="AF135" s="32" t="str">
        <f>IF('Comptage Décadaire'!AG136&lt;&gt;"",VLOOKUP('Comptage Décadaire'!AG136,'Comptage Décadaire'!AG:AG,1,FALSE),"")</f>
        <v/>
      </c>
    </row>
    <row r="136" spans="1:32" x14ac:dyDescent="0.25">
      <c r="A136" s="25" t="str">
        <f>IF('Comptage Décadaire'!A137&lt;&gt;"",VLOOKUP('Comptage Décadaire'!A137,'Comptage Décadaire'!A:A,1,FALSE),"")</f>
        <v/>
      </c>
      <c r="B136" s="27" t="str">
        <f>IF('Comptage Décadaire'!B137&lt;&gt;"",VLOOKUP('Comptage Décadaire'!B137,'Comptage Décadaire'!B:B,1,FALSE),"")</f>
        <v/>
      </c>
      <c r="C136" s="28" t="str">
        <f>IF('Comptage Décadaire'!C137&lt;&gt;"",VLOOKUP('Comptage Décadaire'!C137,'Comptage Décadaire'!C:C,1,FALSE),"")</f>
        <v/>
      </c>
      <c r="D136" s="29" t="str">
        <f>IF('Comptage Décadaire'!D137&lt;&gt;"",VLOOKUP('Comptage Décadaire'!D137,Sites!$A:$B,2,FALSE),"")</f>
        <v/>
      </c>
      <c r="E136" s="29" t="str">
        <f>IF('Comptage Décadaire'!E137&lt;&gt;"",VLOOKUP('Comptage Décadaire'!E137,'Comptage Décadaire'!E:E,1,FALSE),"")</f>
        <v/>
      </c>
      <c r="F136" s="29" t="str">
        <f>IF('Comptage Décadaire'!F137&lt;&gt;"",VLOOKUP('Comptage Décadaire'!F137,Nomenclature!$B$2:$C$4,2,FALSE),"")</f>
        <v/>
      </c>
      <c r="G136" s="29" t="str">
        <f>IF('Comptage Décadaire'!G137&lt;&gt;"",VLOOKUP('Comptage Décadaire'!G137,'Comptage Décadaire'!G:G,1,FALSE),"")</f>
        <v/>
      </c>
      <c r="H136" s="29" t="str">
        <f>IF('Comptage Décadaire'!H137&lt;&gt;"",VLOOKUP('Comptage Décadaire'!H137,Nomenclature!$D$2:$E$7,2,FALSE),"")</f>
        <v/>
      </c>
      <c r="I136" s="30" t="str">
        <f>IF('Comptage Décadaire'!J137&lt;&gt;"",VLOOKUP('Comptage Décadaire'!J137,'Comptage Décadaire'!J:J,1,FALSE),"")</f>
        <v/>
      </c>
      <c r="J136" s="30" t="str">
        <f>IF('Comptage Décadaire'!K137&lt;&gt;"",VLOOKUP('Comptage Décadaire'!K137,'Comptage Décadaire'!K:K,1,FALSE),"")</f>
        <v/>
      </c>
      <c r="K136" s="30" t="str">
        <f>IF('Comptage Décadaire'!L137&lt;&gt;"",VLOOKUP('Comptage Décadaire'!L137,'Comptage Décadaire'!L:L,1,FALSE),"")</f>
        <v/>
      </c>
      <c r="L136" s="31" t="str">
        <f>IF('Comptage Décadaire'!M137&lt;&gt;"",VLOOKUP('Comptage Décadaire'!M137,'Comptage Décadaire'!M:M,1,FALSE),"")</f>
        <v/>
      </c>
      <c r="M136" s="33" t="str">
        <f>IF('Comptage Décadaire'!N137&lt;&gt;"",VLOOKUP('Comptage Décadaire'!N137,Utilisateurs!$D:$F,3,FALSE),"")</f>
        <v/>
      </c>
      <c r="N136" s="33" t="str">
        <f>IF('Comptage Décadaire'!O137&lt;&gt;"",VLOOKUP('Comptage Décadaire'!O137,Utilisateurs!$D:$F,3,FALSE),"")</f>
        <v/>
      </c>
      <c r="O136" s="33" t="str">
        <f>IF('Comptage Décadaire'!P137&lt;&gt;"",VLOOKUP('Comptage Décadaire'!P137,Utilisateurs!$D:$F,3,FALSE),"")</f>
        <v/>
      </c>
      <c r="P136" s="33" t="str">
        <f>IF('Comptage Décadaire'!Q137&lt;&gt;"",VLOOKUP('Comptage Décadaire'!Q137,Utilisateurs!$D:$F,3,FALSE),"")</f>
        <v/>
      </c>
      <c r="Q136" s="33" t="str">
        <f>IF('Comptage Décadaire'!R137&lt;&gt;"",VLOOKUP('Comptage Décadaire'!R137,Utilisateurs!$D:$F,3,FALSE),"")</f>
        <v/>
      </c>
      <c r="R136" s="30" t="str">
        <f>IF('Comptage Décadaire'!S137&lt;&gt;"",VLOOKUP('Comptage Décadaire'!S137,Nomenclature!$N:$O,2,FALSE),"")</f>
        <v/>
      </c>
      <c r="S136" s="30" t="str">
        <f>IF('Comptage Décadaire'!T137&lt;&gt;"",VLOOKUP('Comptage Décadaire'!T137,'Comptage Décadaire'!T:T,1,FALSE),"")</f>
        <v/>
      </c>
      <c r="T136" s="30" t="str">
        <f>IF('Comptage Décadaire'!U137&lt;&gt;"",VLOOKUP('Comptage Décadaire'!U137,'Comptage Décadaire'!U:U,1,FALSE),"")</f>
        <v/>
      </c>
      <c r="U136" s="30" t="str">
        <f>IF('Comptage Décadaire'!V137&lt;&gt;"",VLOOKUP('Comptage Décadaire'!V137,'Comptage Décadaire'!V:V,1,FALSE),"")</f>
        <v/>
      </c>
      <c r="V136" s="30" t="str">
        <f>IF('Comptage Décadaire'!W137&lt;&gt;"",VLOOKUP('Comptage Décadaire'!W137,'Comptage Décadaire'!W:W,1,FALSE),"")</f>
        <v/>
      </c>
      <c r="W136" s="30" t="str">
        <f>IF('Comptage Décadaire'!X137&lt;&gt;"",VLOOKUP('Comptage Décadaire'!X137,'Comptage Décadaire'!X:X,1,FALSE),"")</f>
        <v/>
      </c>
      <c r="X136" s="30" t="str">
        <f>IF('Comptage Décadaire'!Y137&lt;&gt;"",VLOOKUP('Comptage Décadaire'!Y137,'Comptage Décadaire'!Y:Y,1,FALSE),"")</f>
        <v/>
      </c>
      <c r="Y136" s="30" t="str">
        <f>IF('Comptage Décadaire'!Z137&lt;&gt;"",VLOOKUP('Comptage Décadaire'!Z137,Nomenclature!$F$2:$G$7,2,FALSE),"")</f>
        <v/>
      </c>
      <c r="Z136" s="30" t="str">
        <f>IF('Comptage Décadaire'!AA137&lt;&gt;"",VLOOKUP('Comptage Décadaire'!AA137,Nomenclature!$H$2:$I$31,2,FALSE),"")</f>
        <v/>
      </c>
      <c r="AA136" s="30" t="str">
        <f>IF('Comptage Décadaire'!AB137&lt;&gt;"",VLOOKUP('Comptage Décadaire'!AB137,Nomenclature!$J$2:$K$21,2,FALSE),"")</f>
        <v/>
      </c>
      <c r="AB136" s="30" t="str">
        <f>IF('Comptage Décadaire'!AC137&lt;&gt;"",VLOOKUP('Comptage Décadaire'!AC137,'Comptage Décadaire'!AC:AC,1,FALSE),"")</f>
        <v/>
      </c>
      <c r="AC136" s="32" t="str">
        <f>IF('Comptage Décadaire'!AD137&lt;&gt;"",VLOOKUP('Comptage Décadaire'!AD137,Nomenclature!$L$2:$M$8,2,FALSE),"")</f>
        <v/>
      </c>
      <c r="AD136" s="32" t="str">
        <f>IF('Comptage Décadaire'!AE137&lt;&gt;"",VLOOKUP('Comptage Décadaire'!AE137,Utilisateurs!$D$2:$F$81,3,FALSE),"")</f>
        <v/>
      </c>
      <c r="AE136" s="35" t="str">
        <f>IF('Comptage Décadaire'!AF137&lt;&gt;"",VLOOKUP('Comptage Décadaire'!AF137,'Comptage Décadaire'!AF:AF,1,FALSE),"")</f>
        <v/>
      </c>
      <c r="AF136" s="32" t="str">
        <f>IF('Comptage Décadaire'!AG137&lt;&gt;"",VLOOKUP('Comptage Décadaire'!AG137,'Comptage Décadaire'!AG:AG,1,FALSE),"")</f>
        <v/>
      </c>
    </row>
    <row r="137" spans="1:32" x14ac:dyDescent="0.25">
      <c r="A137" s="25" t="str">
        <f>IF('Comptage Décadaire'!A138&lt;&gt;"",VLOOKUP('Comptage Décadaire'!A138,'Comptage Décadaire'!A:A,1,FALSE),"")</f>
        <v/>
      </c>
      <c r="B137" s="27" t="str">
        <f>IF('Comptage Décadaire'!B138&lt;&gt;"",VLOOKUP('Comptage Décadaire'!B138,'Comptage Décadaire'!B:B,1,FALSE),"")</f>
        <v/>
      </c>
      <c r="C137" s="28" t="str">
        <f>IF('Comptage Décadaire'!C138&lt;&gt;"",VLOOKUP('Comptage Décadaire'!C138,'Comptage Décadaire'!C:C,1,FALSE),"")</f>
        <v/>
      </c>
      <c r="D137" s="29" t="str">
        <f>IF('Comptage Décadaire'!D138&lt;&gt;"",VLOOKUP('Comptage Décadaire'!D138,Sites!$A:$B,2,FALSE),"")</f>
        <v/>
      </c>
      <c r="E137" s="29" t="str">
        <f>IF('Comptage Décadaire'!E138&lt;&gt;"",VLOOKUP('Comptage Décadaire'!E138,'Comptage Décadaire'!E:E,1,FALSE),"")</f>
        <v/>
      </c>
      <c r="F137" s="29" t="str">
        <f>IF('Comptage Décadaire'!F138&lt;&gt;"",VLOOKUP('Comptage Décadaire'!F138,Nomenclature!$B$2:$C$4,2,FALSE),"")</f>
        <v/>
      </c>
      <c r="G137" s="29" t="str">
        <f>IF('Comptage Décadaire'!G138&lt;&gt;"",VLOOKUP('Comptage Décadaire'!G138,'Comptage Décadaire'!G:G,1,FALSE),"")</f>
        <v/>
      </c>
      <c r="H137" s="29" t="str">
        <f>IF('Comptage Décadaire'!H138&lt;&gt;"",VLOOKUP('Comptage Décadaire'!H138,Nomenclature!$D$2:$E$7,2,FALSE),"")</f>
        <v/>
      </c>
      <c r="I137" s="30" t="str">
        <f>IF('Comptage Décadaire'!J138&lt;&gt;"",VLOOKUP('Comptage Décadaire'!J138,'Comptage Décadaire'!J:J,1,FALSE),"")</f>
        <v/>
      </c>
      <c r="J137" s="30" t="str">
        <f>IF('Comptage Décadaire'!K138&lt;&gt;"",VLOOKUP('Comptage Décadaire'!K138,'Comptage Décadaire'!K:K,1,FALSE),"")</f>
        <v/>
      </c>
      <c r="K137" s="30" t="str">
        <f>IF('Comptage Décadaire'!L138&lt;&gt;"",VLOOKUP('Comptage Décadaire'!L138,'Comptage Décadaire'!L:L,1,FALSE),"")</f>
        <v/>
      </c>
      <c r="L137" s="31" t="str">
        <f>IF('Comptage Décadaire'!M138&lt;&gt;"",VLOOKUP('Comptage Décadaire'!M138,'Comptage Décadaire'!M:M,1,FALSE),"")</f>
        <v/>
      </c>
      <c r="M137" s="33" t="str">
        <f>IF('Comptage Décadaire'!N138&lt;&gt;"",VLOOKUP('Comptage Décadaire'!N138,Utilisateurs!$D:$F,3,FALSE),"")</f>
        <v/>
      </c>
      <c r="N137" s="33" t="str">
        <f>IF('Comptage Décadaire'!O138&lt;&gt;"",VLOOKUP('Comptage Décadaire'!O138,Utilisateurs!$D:$F,3,FALSE),"")</f>
        <v/>
      </c>
      <c r="O137" s="33" t="str">
        <f>IF('Comptage Décadaire'!P138&lt;&gt;"",VLOOKUP('Comptage Décadaire'!P138,Utilisateurs!$D:$F,3,FALSE),"")</f>
        <v/>
      </c>
      <c r="P137" s="33" t="str">
        <f>IF('Comptage Décadaire'!Q138&lt;&gt;"",VLOOKUP('Comptage Décadaire'!Q138,Utilisateurs!$D:$F,3,FALSE),"")</f>
        <v/>
      </c>
      <c r="Q137" s="33" t="str">
        <f>IF('Comptage Décadaire'!R138&lt;&gt;"",VLOOKUP('Comptage Décadaire'!R138,Utilisateurs!$D:$F,3,FALSE),"")</f>
        <v/>
      </c>
      <c r="R137" s="30" t="str">
        <f>IF('Comptage Décadaire'!S138&lt;&gt;"",VLOOKUP('Comptage Décadaire'!S138,Nomenclature!$N:$O,2,FALSE),"")</f>
        <v/>
      </c>
      <c r="S137" s="30" t="str">
        <f>IF('Comptage Décadaire'!T138&lt;&gt;"",VLOOKUP('Comptage Décadaire'!T138,'Comptage Décadaire'!T:T,1,FALSE),"")</f>
        <v/>
      </c>
      <c r="T137" s="30" t="str">
        <f>IF('Comptage Décadaire'!U138&lt;&gt;"",VLOOKUP('Comptage Décadaire'!U138,'Comptage Décadaire'!U:U,1,FALSE),"")</f>
        <v/>
      </c>
      <c r="U137" s="30" t="str">
        <f>IF('Comptage Décadaire'!V138&lt;&gt;"",VLOOKUP('Comptage Décadaire'!V138,'Comptage Décadaire'!V:V,1,FALSE),"")</f>
        <v/>
      </c>
      <c r="V137" s="30" t="str">
        <f>IF('Comptage Décadaire'!W138&lt;&gt;"",VLOOKUP('Comptage Décadaire'!W138,'Comptage Décadaire'!W:W,1,FALSE),"")</f>
        <v/>
      </c>
      <c r="W137" s="30" t="str">
        <f>IF('Comptage Décadaire'!X138&lt;&gt;"",VLOOKUP('Comptage Décadaire'!X138,'Comptage Décadaire'!X:X,1,FALSE),"")</f>
        <v/>
      </c>
      <c r="X137" s="30" t="str">
        <f>IF('Comptage Décadaire'!Y138&lt;&gt;"",VLOOKUP('Comptage Décadaire'!Y138,'Comptage Décadaire'!Y:Y,1,FALSE),"")</f>
        <v/>
      </c>
      <c r="Y137" s="30" t="str">
        <f>IF('Comptage Décadaire'!Z138&lt;&gt;"",VLOOKUP('Comptage Décadaire'!Z138,Nomenclature!$F$2:$G$7,2,FALSE),"")</f>
        <v/>
      </c>
      <c r="Z137" s="30" t="str">
        <f>IF('Comptage Décadaire'!AA138&lt;&gt;"",VLOOKUP('Comptage Décadaire'!AA138,Nomenclature!$H$2:$I$31,2,FALSE),"")</f>
        <v/>
      </c>
      <c r="AA137" s="30" t="str">
        <f>IF('Comptage Décadaire'!AB138&lt;&gt;"",VLOOKUP('Comptage Décadaire'!AB138,Nomenclature!$J$2:$K$21,2,FALSE),"")</f>
        <v/>
      </c>
      <c r="AB137" s="30" t="str">
        <f>IF('Comptage Décadaire'!AC138&lt;&gt;"",VLOOKUP('Comptage Décadaire'!AC138,'Comptage Décadaire'!AC:AC,1,FALSE),"")</f>
        <v/>
      </c>
      <c r="AC137" s="32" t="str">
        <f>IF('Comptage Décadaire'!AD138&lt;&gt;"",VLOOKUP('Comptage Décadaire'!AD138,Nomenclature!$L$2:$M$8,2,FALSE),"")</f>
        <v/>
      </c>
      <c r="AD137" s="32" t="str">
        <f>IF('Comptage Décadaire'!AE138&lt;&gt;"",VLOOKUP('Comptage Décadaire'!AE138,Utilisateurs!$D$2:$F$81,3,FALSE),"")</f>
        <v/>
      </c>
      <c r="AE137" s="35" t="str">
        <f>IF('Comptage Décadaire'!AF138&lt;&gt;"",VLOOKUP('Comptage Décadaire'!AF138,'Comptage Décadaire'!AF:AF,1,FALSE),"")</f>
        <v/>
      </c>
      <c r="AF137" s="32" t="str">
        <f>IF('Comptage Décadaire'!AG138&lt;&gt;"",VLOOKUP('Comptage Décadaire'!AG138,'Comptage Décadaire'!AG:AG,1,FALSE),"")</f>
        <v/>
      </c>
    </row>
    <row r="138" spans="1:32" x14ac:dyDescent="0.25">
      <c r="A138" s="25" t="str">
        <f>IF('Comptage Décadaire'!A139&lt;&gt;"",VLOOKUP('Comptage Décadaire'!A139,'Comptage Décadaire'!A:A,1,FALSE),"")</f>
        <v/>
      </c>
      <c r="B138" s="27" t="str">
        <f>IF('Comptage Décadaire'!B139&lt;&gt;"",VLOOKUP('Comptage Décadaire'!B139,'Comptage Décadaire'!B:B,1,FALSE),"")</f>
        <v/>
      </c>
      <c r="C138" s="28" t="str">
        <f>IF('Comptage Décadaire'!C139&lt;&gt;"",VLOOKUP('Comptage Décadaire'!C139,'Comptage Décadaire'!C:C,1,FALSE),"")</f>
        <v/>
      </c>
      <c r="D138" s="29" t="str">
        <f>IF('Comptage Décadaire'!D139&lt;&gt;"",VLOOKUP('Comptage Décadaire'!D139,Sites!$A:$B,2,FALSE),"")</f>
        <v/>
      </c>
      <c r="E138" s="29" t="str">
        <f>IF('Comptage Décadaire'!E139&lt;&gt;"",VLOOKUP('Comptage Décadaire'!E139,'Comptage Décadaire'!E:E,1,FALSE),"")</f>
        <v/>
      </c>
      <c r="F138" s="29" t="str">
        <f>IF('Comptage Décadaire'!F139&lt;&gt;"",VLOOKUP('Comptage Décadaire'!F139,Nomenclature!$B$2:$C$4,2,FALSE),"")</f>
        <v/>
      </c>
      <c r="G138" s="29" t="str">
        <f>IF('Comptage Décadaire'!G139&lt;&gt;"",VLOOKUP('Comptage Décadaire'!G139,'Comptage Décadaire'!G:G,1,FALSE),"")</f>
        <v/>
      </c>
      <c r="H138" s="29" t="str">
        <f>IF('Comptage Décadaire'!H139&lt;&gt;"",VLOOKUP('Comptage Décadaire'!H139,Nomenclature!$D$2:$E$7,2,FALSE),"")</f>
        <v/>
      </c>
      <c r="I138" s="30" t="str">
        <f>IF('Comptage Décadaire'!J139&lt;&gt;"",VLOOKUP('Comptage Décadaire'!J139,'Comptage Décadaire'!J:J,1,FALSE),"")</f>
        <v/>
      </c>
      <c r="J138" s="30" t="str">
        <f>IF('Comptage Décadaire'!K139&lt;&gt;"",VLOOKUP('Comptage Décadaire'!K139,'Comptage Décadaire'!K:K,1,FALSE),"")</f>
        <v/>
      </c>
      <c r="K138" s="30" t="str">
        <f>IF('Comptage Décadaire'!L139&lt;&gt;"",VLOOKUP('Comptage Décadaire'!L139,'Comptage Décadaire'!L:L,1,FALSE),"")</f>
        <v/>
      </c>
      <c r="L138" s="31" t="str">
        <f>IF('Comptage Décadaire'!M139&lt;&gt;"",VLOOKUP('Comptage Décadaire'!M139,'Comptage Décadaire'!M:M,1,FALSE),"")</f>
        <v/>
      </c>
      <c r="M138" s="33" t="str">
        <f>IF('Comptage Décadaire'!N139&lt;&gt;"",VLOOKUP('Comptage Décadaire'!N139,Utilisateurs!$D:$F,3,FALSE),"")</f>
        <v/>
      </c>
      <c r="N138" s="33" t="str">
        <f>IF('Comptage Décadaire'!O139&lt;&gt;"",VLOOKUP('Comptage Décadaire'!O139,Utilisateurs!$D:$F,3,FALSE),"")</f>
        <v/>
      </c>
      <c r="O138" s="33" t="str">
        <f>IF('Comptage Décadaire'!P139&lt;&gt;"",VLOOKUP('Comptage Décadaire'!P139,Utilisateurs!$D:$F,3,FALSE),"")</f>
        <v/>
      </c>
      <c r="P138" s="33" t="str">
        <f>IF('Comptage Décadaire'!Q139&lt;&gt;"",VLOOKUP('Comptage Décadaire'!Q139,Utilisateurs!$D:$F,3,FALSE),"")</f>
        <v/>
      </c>
      <c r="Q138" s="33" t="str">
        <f>IF('Comptage Décadaire'!R139&lt;&gt;"",VLOOKUP('Comptage Décadaire'!R139,Utilisateurs!$D:$F,3,FALSE),"")</f>
        <v/>
      </c>
      <c r="R138" s="30" t="str">
        <f>IF('Comptage Décadaire'!S139&lt;&gt;"",VLOOKUP('Comptage Décadaire'!S139,Nomenclature!$N:$O,2,FALSE),"")</f>
        <v/>
      </c>
      <c r="S138" s="30" t="str">
        <f>IF('Comptage Décadaire'!T139&lt;&gt;"",VLOOKUP('Comptage Décadaire'!T139,'Comptage Décadaire'!T:T,1,FALSE),"")</f>
        <v/>
      </c>
      <c r="T138" s="30" t="str">
        <f>IF('Comptage Décadaire'!U139&lt;&gt;"",VLOOKUP('Comptage Décadaire'!U139,'Comptage Décadaire'!U:U,1,FALSE),"")</f>
        <v/>
      </c>
      <c r="U138" s="30" t="str">
        <f>IF('Comptage Décadaire'!V139&lt;&gt;"",VLOOKUP('Comptage Décadaire'!V139,'Comptage Décadaire'!V:V,1,FALSE),"")</f>
        <v/>
      </c>
      <c r="V138" s="30" t="str">
        <f>IF('Comptage Décadaire'!W139&lt;&gt;"",VLOOKUP('Comptage Décadaire'!W139,'Comptage Décadaire'!W:W,1,FALSE),"")</f>
        <v/>
      </c>
      <c r="W138" s="30" t="str">
        <f>IF('Comptage Décadaire'!X139&lt;&gt;"",VLOOKUP('Comptage Décadaire'!X139,'Comptage Décadaire'!X:X,1,FALSE),"")</f>
        <v/>
      </c>
      <c r="X138" s="30" t="str">
        <f>IF('Comptage Décadaire'!Y139&lt;&gt;"",VLOOKUP('Comptage Décadaire'!Y139,'Comptage Décadaire'!Y:Y,1,FALSE),"")</f>
        <v/>
      </c>
      <c r="Y138" s="30" t="str">
        <f>IF('Comptage Décadaire'!Z139&lt;&gt;"",VLOOKUP('Comptage Décadaire'!Z139,Nomenclature!$F$2:$G$7,2,FALSE),"")</f>
        <v/>
      </c>
      <c r="Z138" s="30" t="str">
        <f>IF('Comptage Décadaire'!AA139&lt;&gt;"",VLOOKUP('Comptage Décadaire'!AA139,Nomenclature!$H$2:$I$31,2,FALSE),"")</f>
        <v/>
      </c>
      <c r="AA138" s="30" t="str">
        <f>IF('Comptage Décadaire'!AB139&lt;&gt;"",VLOOKUP('Comptage Décadaire'!AB139,Nomenclature!$J$2:$K$21,2,FALSE),"")</f>
        <v/>
      </c>
      <c r="AB138" s="30" t="str">
        <f>IF('Comptage Décadaire'!AC139&lt;&gt;"",VLOOKUP('Comptage Décadaire'!AC139,'Comptage Décadaire'!AC:AC,1,FALSE),"")</f>
        <v/>
      </c>
      <c r="AC138" s="32" t="str">
        <f>IF('Comptage Décadaire'!AD139&lt;&gt;"",VLOOKUP('Comptage Décadaire'!AD139,Nomenclature!$L$2:$M$8,2,FALSE),"")</f>
        <v/>
      </c>
      <c r="AD138" s="32" t="str">
        <f>IF('Comptage Décadaire'!AE139&lt;&gt;"",VLOOKUP('Comptage Décadaire'!AE139,Utilisateurs!$D$2:$F$81,3,FALSE),"")</f>
        <v/>
      </c>
      <c r="AE138" s="35" t="str">
        <f>IF('Comptage Décadaire'!AF139&lt;&gt;"",VLOOKUP('Comptage Décadaire'!AF139,'Comptage Décadaire'!AF:AF,1,FALSE),"")</f>
        <v/>
      </c>
      <c r="AF138" s="32" t="str">
        <f>IF('Comptage Décadaire'!AG139&lt;&gt;"",VLOOKUP('Comptage Décadaire'!AG139,'Comptage Décadaire'!AG:AG,1,FALSE),"")</f>
        <v/>
      </c>
    </row>
    <row r="139" spans="1:32" x14ac:dyDescent="0.25">
      <c r="A139" s="25" t="str">
        <f>IF('Comptage Décadaire'!A140&lt;&gt;"",VLOOKUP('Comptage Décadaire'!A140,'Comptage Décadaire'!A:A,1,FALSE),"")</f>
        <v/>
      </c>
      <c r="B139" s="27" t="str">
        <f>IF('Comptage Décadaire'!B140&lt;&gt;"",VLOOKUP('Comptage Décadaire'!B140,'Comptage Décadaire'!B:B,1,FALSE),"")</f>
        <v/>
      </c>
      <c r="C139" s="28" t="str">
        <f>IF('Comptage Décadaire'!C140&lt;&gt;"",VLOOKUP('Comptage Décadaire'!C140,'Comptage Décadaire'!C:C,1,FALSE),"")</f>
        <v/>
      </c>
      <c r="D139" s="29" t="str">
        <f>IF('Comptage Décadaire'!D140&lt;&gt;"",VLOOKUP('Comptage Décadaire'!D140,Sites!$A:$B,2,FALSE),"")</f>
        <v/>
      </c>
      <c r="E139" s="29" t="str">
        <f>IF('Comptage Décadaire'!E140&lt;&gt;"",VLOOKUP('Comptage Décadaire'!E140,'Comptage Décadaire'!E:E,1,FALSE),"")</f>
        <v/>
      </c>
      <c r="F139" s="29" t="str">
        <f>IF('Comptage Décadaire'!F140&lt;&gt;"",VLOOKUP('Comptage Décadaire'!F140,Nomenclature!$B$2:$C$4,2,FALSE),"")</f>
        <v/>
      </c>
      <c r="G139" s="29" t="str">
        <f>IF('Comptage Décadaire'!G140&lt;&gt;"",VLOOKUP('Comptage Décadaire'!G140,'Comptage Décadaire'!G:G,1,FALSE),"")</f>
        <v/>
      </c>
      <c r="H139" s="29" t="str">
        <f>IF('Comptage Décadaire'!H140&lt;&gt;"",VLOOKUP('Comptage Décadaire'!H140,Nomenclature!$D$2:$E$7,2,FALSE),"")</f>
        <v/>
      </c>
      <c r="I139" s="30" t="str">
        <f>IF('Comptage Décadaire'!J140&lt;&gt;"",VLOOKUP('Comptage Décadaire'!J140,'Comptage Décadaire'!J:J,1,FALSE),"")</f>
        <v/>
      </c>
      <c r="J139" s="30" t="str">
        <f>IF('Comptage Décadaire'!K140&lt;&gt;"",VLOOKUP('Comptage Décadaire'!K140,'Comptage Décadaire'!K:K,1,FALSE),"")</f>
        <v/>
      </c>
      <c r="K139" s="30" t="str">
        <f>IF('Comptage Décadaire'!L140&lt;&gt;"",VLOOKUP('Comptage Décadaire'!L140,'Comptage Décadaire'!L:L,1,FALSE),"")</f>
        <v/>
      </c>
      <c r="L139" s="31" t="str">
        <f>IF('Comptage Décadaire'!M140&lt;&gt;"",VLOOKUP('Comptage Décadaire'!M140,'Comptage Décadaire'!M:M,1,FALSE),"")</f>
        <v/>
      </c>
      <c r="M139" s="33" t="str">
        <f>IF('Comptage Décadaire'!N140&lt;&gt;"",VLOOKUP('Comptage Décadaire'!N140,Utilisateurs!$D:$F,3,FALSE),"")</f>
        <v/>
      </c>
      <c r="N139" s="33" t="str">
        <f>IF('Comptage Décadaire'!O140&lt;&gt;"",VLOOKUP('Comptage Décadaire'!O140,Utilisateurs!$D:$F,3,FALSE),"")</f>
        <v/>
      </c>
      <c r="O139" s="33" t="str">
        <f>IF('Comptage Décadaire'!P140&lt;&gt;"",VLOOKUP('Comptage Décadaire'!P140,Utilisateurs!$D:$F,3,FALSE),"")</f>
        <v/>
      </c>
      <c r="P139" s="33" t="str">
        <f>IF('Comptage Décadaire'!Q140&lt;&gt;"",VLOOKUP('Comptage Décadaire'!Q140,Utilisateurs!$D:$F,3,FALSE),"")</f>
        <v/>
      </c>
      <c r="Q139" s="33" t="str">
        <f>IF('Comptage Décadaire'!R140&lt;&gt;"",VLOOKUP('Comptage Décadaire'!R140,Utilisateurs!$D:$F,3,FALSE),"")</f>
        <v/>
      </c>
      <c r="R139" s="30" t="str">
        <f>IF('Comptage Décadaire'!S140&lt;&gt;"",VLOOKUP('Comptage Décadaire'!S140,Nomenclature!$N:$O,2,FALSE),"")</f>
        <v/>
      </c>
      <c r="S139" s="30" t="str">
        <f>IF('Comptage Décadaire'!T140&lt;&gt;"",VLOOKUP('Comptage Décadaire'!T140,'Comptage Décadaire'!T:T,1,FALSE),"")</f>
        <v/>
      </c>
      <c r="T139" s="30" t="str">
        <f>IF('Comptage Décadaire'!U140&lt;&gt;"",VLOOKUP('Comptage Décadaire'!U140,'Comptage Décadaire'!U:U,1,FALSE),"")</f>
        <v/>
      </c>
      <c r="U139" s="30" t="str">
        <f>IF('Comptage Décadaire'!V140&lt;&gt;"",VLOOKUP('Comptage Décadaire'!V140,'Comptage Décadaire'!V:V,1,FALSE),"")</f>
        <v/>
      </c>
      <c r="V139" s="30" t="str">
        <f>IF('Comptage Décadaire'!W140&lt;&gt;"",VLOOKUP('Comptage Décadaire'!W140,'Comptage Décadaire'!W:W,1,FALSE),"")</f>
        <v/>
      </c>
      <c r="W139" s="30" t="str">
        <f>IF('Comptage Décadaire'!X140&lt;&gt;"",VLOOKUP('Comptage Décadaire'!X140,'Comptage Décadaire'!X:X,1,FALSE),"")</f>
        <v/>
      </c>
      <c r="X139" s="30" t="str">
        <f>IF('Comptage Décadaire'!Y140&lt;&gt;"",VLOOKUP('Comptage Décadaire'!Y140,'Comptage Décadaire'!Y:Y,1,FALSE),"")</f>
        <v/>
      </c>
      <c r="Y139" s="30" t="str">
        <f>IF('Comptage Décadaire'!Z140&lt;&gt;"",VLOOKUP('Comptage Décadaire'!Z140,Nomenclature!$F$2:$G$7,2,FALSE),"")</f>
        <v/>
      </c>
      <c r="Z139" s="30" t="str">
        <f>IF('Comptage Décadaire'!AA140&lt;&gt;"",VLOOKUP('Comptage Décadaire'!AA140,Nomenclature!$H$2:$I$31,2,FALSE),"")</f>
        <v/>
      </c>
      <c r="AA139" s="30" t="str">
        <f>IF('Comptage Décadaire'!AB140&lt;&gt;"",VLOOKUP('Comptage Décadaire'!AB140,Nomenclature!$J$2:$K$21,2,FALSE),"")</f>
        <v/>
      </c>
      <c r="AB139" s="30" t="str">
        <f>IF('Comptage Décadaire'!AC140&lt;&gt;"",VLOOKUP('Comptage Décadaire'!AC140,'Comptage Décadaire'!AC:AC,1,FALSE),"")</f>
        <v/>
      </c>
      <c r="AC139" s="32" t="str">
        <f>IF('Comptage Décadaire'!AD140&lt;&gt;"",VLOOKUP('Comptage Décadaire'!AD140,Nomenclature!$L$2:$M$8,2,FALSE),"")</f>
        <v/>
      </c>
      <c r="AD139" s="32" t="str">
        <f>IF('Comptage Décadaire'!AE140&lt;&gt;"",VLOOKUP('Comptage Décadaire'!AE140,Utilisateurs!$D$2:$F$81,3,FALSE),"")</f>
        <v/>
      </c>
      <c r="AE139" s="35" t="str">
        <f>IF('Comptage Décadaire'!AF140&lt;&gt;"",VLOOKUP('Comptage Décadaire'!AF140,'Comptage Décadaire'!AF:AF,1,FALSE),"")</f>
        <v/>
      </c>
      <c r="AF139" s="32" t="str">
        <f>IF('Comptage Décadaire'!AG140&lt;&gt;"",VLOOKUP('Comptage Décadaire'!AG140,'Comptage Décadaire'!AG:AG,1,FALSE),"")</f>
        <v/>
      </c>
    </row>
    <row r="140" spans="1:32" x14ac:dyDescent="0.25">
      <c r="A140" s="25" t="str">
        <f>IF('Comptage Décadaire'!A141&lt;&gt;"",VLOOKUP('Comptage Décadaire'!A141,'Comptage Décadaire'!A:A,1,FALSE),"")</f>
        <v/>
      </c>
      <c r="B140" s="27" t="str">
        <f>IF('Comptage Décadaire'!B141&lt;&gt;"",VLOOKUP('Comptage Décadaire'!B141,'Comptage Décadaire'!B:B,1,FALSE),"")</f>
        <v/>
      </c>
      <c r="C140" s="28" t="str">
        <f>IF('Comptage Décadaire'!C141&lt;&gt;"",VLOOKUP('Comptage Décadaire'!C141,'Comptage Décadaire'!C:C,1,FALSE),"")</f>
        <v/>
      </c>
      <c r="D140" s="29" t="str">
        <f>IF('Comptage Décadaire'!D141&lt;&gt;"",VLOOKUP('Comptage Décadaire'!D141,Sites!$A:$B,2,FALSE),"")</f>
        <v/>
      </c>
      <c r="E140" s="29" t="str">
        <f>IF('Comptage Décadaire'!E141&lt;&gt;"",VLOOKUP('Comptage Décadaire'!E141,'Comptage Décadaire'!E:E,1,FALSE),"")</f>
        <v/>
      </c>
      <c r="F140" s="29" t="str">
        <f>IF('Comptage Décadaire'!F141&lt;&gt;"",VLOOKUP('Comptage Décadaire'!F141,Nomenclature!$B$2:$C$4,2,FALSE),"")</f>
        <v/>
      </c>
      <c r="G140" s="29" t="str">
        <f>IF('Comptage Décadaire'!G141&lt;&gt;"",VLOOKUP('Comptage Décadaire'!G141,'Comptage Décadaire'!G:G,1,FALSE),"")</f>
        <v/>
      </c>
      <c r="H140" s="29" t="str">
        <f>IF('Comptage Décadaire'!H141&lt;&gt;"",VLOOKUP('Comptage Décadaire'!H141,Nomenclature!$D$2:$E$7,2,FALSE),"")</f>
        <v/>
      </c>
      <c r="I140" s="30" t="str">
        <f>IF('Comptage Décadaire'!J141&lt;&gt;"",VLOOKUP('Comptage Décadaire'!J141,'Comptage Décadaire'!J:J,1,FALSE),"")</f>
        <v/>
      </c>
      <c r="J140" s="30" t="str">
        <f>IF('Comptage Décadaire'!K141&lt;&gt;"",VLOOKUP('Comptage Décadaire'!K141,'Comptage Décadaire'!K:K,1,FALSE),"")</f>
        <v/>
      </c>
      <c r="K140" s="30" t="str">
        <f>IF('Comptage Décadaire'!L141&lt;&gt;"",VLOOKUP('Comptage Décadaire'!L141,'Comptage Décadaire'!L:L,1,FALSE),"")</f>
        <v/>
      </c>
      <c r="L140" s="31" t="str">
        <f>IF('Comptage Décadaire'!M141&lt;&gt;"",VLOOKUP('Comptage Décadaire'!M141,'Comptage Décadaire'!M:M,1,FALSE),"")</f>
        <v/>
      </c>
      <c r="M140" s="33" t="str">
        <f>IF('Comptage Décadaire'!N141&lt;&gt;"",VLOOKUP('Comptage Décadaire'!N141,Utilisateurs!$D:$F,3,FALSE),"")</f>
        <v/>
      </c>
      <c r="N140" s="33" t="str">
        <f>IF('Comptage Décadaire'!O141&lt;&gt;"",VLOOKUP('Comptage Décadaire'!O141,Utilisateurs!$D:$F,3,FALSE),"")</f>
        <v/>
      </c>
      <c r="O140" s="33" t="str">
        <f>IF('Comptage Décadaire'!P141&lt;&gt;"",VLOOKUP('Comptage Décadaire'!P141,Utilisateurs!$D:$F,3,FALSE),"")</f>
        <v/>
      </c>
      <c r="P140" s="33" t="str">
        <f>IF('Comptage Décadaire'!Q141&lt;&gt;"",VLOOKUP('Comptage Décadaire'!Q141,Utilisateurs!$D:$F,3,FALSE),"")</f>
        <v/>
      </c>
      <c r="Q140" s="33" t="str">
        <f>IF('Comptage Décadaire'!R141&lt;&gt;"",VLOOKUP('Comptage Décadaire'!R141,Utilisateurs!$D:$F,3,FALSE),"")</f>
        <v/>
      </c>
      <c r="R140" s="30" t="str">
        <f>IF('Comptage Décadaire'!S141&lt;&gt;"",VLOOKUP('Comptage Décadaire'!S141,Nomenclature!$N:$O,2,FALSE),"")</f>
        <v/>
      </c>
      <c r="S140" s="30" t="str">
        <f>IF('Comptage Décadaire'!T141&lt;&gt;"",VLOOKUP('Comptage Décadaire'!T141,'Comptage Décadaire'!T:T,1,FALSE),"")</f>
        <v/>
      </c>
      <c r="T140" s="30" t="str">
        <f>IF('Comptage Décadaire'!U141&lt;&gt;"",VLOOKUP('Comptage Décadaire'!U141,'Comptage Décadaire'!U:U,1,FALSE),"")</f>
        <v/>
      </c>
      <c r="U140" s="30" t="str">
        <f>IF('Comptage Décadaire'!V141&lt;&gt;"",VLOOKUP('Comptage Décadaire'!V141,'Comptage Décadaire'!V:V,1,FALSE),"")</f>
        <v/>
      </c>
      <c r="V140" s="30" t="str">
        <f>IF('Comptage Décadaire'!W141&lt;&gt;"",VLOOKUP('Comptage Décadaire'!W141,'Comptage Décadaire'!W:W,1,FALSE),"")</f>
        <v/>
      </c>
      <c r="W140" s="30" t="str">
        <f>IF('Comptage Décadaire'!X141&lt;&gt;"",VLOOKUP('Comptage Décadaire'!X141,'Comptage Décadaire'!X:X,1,FALSE),"")</f>
        <v/>
      </c>
      <c r="X140" s="30" t="str">
        <f>IF('Comptage Décadaire'!Y141&lt;&gt;"",VLOOKUP('Comptage Décadaire'!Y141,'Comptage Décadaire'!Y:Y,1,FALSE),"")</f>
        <v/>
      </c>
      <c r="Y140" s="30" t="str">
        <f>IF('Comptage Décadaire'!Z141&lt;&gt;"",VLOOKUP('Comptage Décadaire'!Z141,Nomenclature!$F$2:$G$7,2,FALSE),"")</f>
        <v/>
      </c>
      <c r="Z140" s="30" t="str">
        <f>IF('Comptage Décadaire'!AA141&lt;&gt;"",VLOOKUP('Comptage Décadaire'!AA141,Nomenclature!$H$2:$I$31,2,FALSE),"")</f>
        <v/>
      </c>
      <c r="AA140" s="30" t="str">
        <f>IF('Comptage Décadaire'!AB141&lt;&gt;"",VLOOKUP('Comptage Décadaire'!AB141,Nomenclature!$J$2:$K$21,2,FALSE),"")</f>
        <v/>
      </c>
      <c r="AB140" s="30" t="str">
        <f>IF('Comptage Décadaire'!AC141&lt;&gt;"",VLOOKUP('Comptage Décadaire'!AC141,'Comptage Décadaire'!AC:AC,1,FALSE),"")</f>
        <v/>
      </c>
      <c r="AC140" s="32" t="str">
        <f>IF('Comptage Décadaire'!AD141&lt;&gt;"",VLOOKUP('Comptage Décadaire'!AD141,Nomenclature!$L$2:$M$8,2,FALSE),"")</f>
        <v/>
      </c>
      <c r="AD140" s="32" t="str">
        <f>IF('Comptage Décadaire'!AE141&lt;&gt;"",VLOOKUP('Comptage Décadaire'!AE141,Utilisateurs!$D$2:$F$81,3,FALSE),"")</f>
        <v/>
      </c>
      <c r="AE140" s="35" t="str">
        <f>IF('Comptage Décadaire'!AF141&lt;&gt;"",VLOOKUP('Comptage Décadaire'!AF141,'Comptage Décadaire'!AF:AF,1,FALSE),"")</f>
        <v/>
      </c>
      <c r="AF140" s="32" t="str">
        <f>IF('Comptage Décadaire'!AG141&lt;&gt;"",VLOOKUP('Comptage Décadaire'!AG141,'Comptage Décadaire'!AG:AG,1,FALSE),"")</f>
        <v/>
      </c>
    </row>
    <row r="141" spans="1:32" x14ac:dyDescent="0.25">
      <c r="A141" s="25" t="str">
        <f>IF('Comptage Décadaire'!A142&lt;&gt;"",VLOOKUP('Comptage Décadaire'!A142,'Comptage Décadaire'!A:A,1,FALSE),"")</f>
        <v/>
      </c>
      <c r="B141" s="27" t="str">
        <f>IF('Comptage Décadaire'!B142&lt;&gt;"",VLOOKUP('Comptage Décadaire'!B142,'Comptage Décadaire'!B:B,1,FALSE),"")</f>
        <v/>
      </c>
      <c r="C141" s="28" t="str">
        <f>IF('Comptage Décadaire'!C142&lt;&gt;"",VLOOKUP('Comptage Décadaire'!C142,'Comptage Décadaire'!C:C,1,FALSE),"")</f>
        <v/>
      </c>
      <c r="D141" s="29" t="str">
        <f>IF('Comptage Décadaire'!D142&lt;&gt;"",VLOOKUP('Comptage Décadaire'!D142,Sites!$A:$B,2,FALSE),"")</f>
        <v/>
      </c>
      <c r="E141" s="29" t="str">
        <f>IF('Comptage Décadaire'!E142&lt;&gt;"",VLOOKUP('Comptage Décadaire'!E142,'Comptage Décadaire'!E:E,1,FALSE),"")</f>
        <v/>
      </c>
      <c r="F141" s="29" t="str">
        <f>IF('Comptage Décadaire'!F142&lt;&gt;"",VLOOKUP('Comptage Décadaire'!F142,Nomenclature!$B$2:$C$4,2,FALSE),"")</f>
        <v/>
      </c>
      <c r="G141" s="29" t="str">
        <f>IF('Comptage Décadaire'!G142&lt;&gt;"",VLOOKUP('Comptage Décadaire'!G142,'Comptage Décadaire'!G:G,1,FALSE),"")</f>
        <v/>
      </c>
      <c r="H141" s="29" t="str">
        <f>IF('Comptage Décadaire'!H142&lt;&gt;"",VLOOKUP('Comptage Décadaire'!H142,Nomenclature!$D$2:$E$7,2,FALSE),"")</f>
        <v/>
      </c>
      <c r="I141" s="30" t="str">
        <f>IF('Comptage Décadaire'!J142&lt;&gt;"",VLOOKUP('Comptage Décadaire'!J142,'Comptage Décadaire'!J:J,1,FALSE),"")</f>
        <v/>
      </c>
      <c r="J141" s="30" t="str">
        <f>IF('Comptage Décadaire'!K142&lt;&gt;"",VLOOKUP('Comptage Décadaire'!K142,'Comptage Décadaire'!K:K,1,FALSE),"")</f>
        <v/>
      </c>
      <c r="K141" s="30" t="str">
        <f>IF('Comptage Décadaire'!L142&lt;&gt;"",VLOOKUP('Comptage Décadaire'!L142,'Comptage Décadaire'!L:L,1,FALSE),"")</f>
        <v/>
      </c>
      <c r="L141" s="31" t="str">
        <f>IF('Comptage Décadaire'!M142&lt;&gt;"",VLOOKUP('Comptage Décadaire'!M142,'Comptage Décadaire'!M:M,1,FALSE),"")</f>
        <v/>
      </c>
      <c r="M141" s="33" t="str">
        <f>IF('Comptage Décadaire'!N142&lt;&gt;"",VLOOKUP('Comptage Décadaire'!N142,Utilisateurs!$D:$F,3,FALSE),"")</f>
        <v/>
      </c>
      <c r="N141" s="33" t="str">
        <f>IF('Comptage Décadaire'!O142&lt;&gt;"",VLOOKUP('Comptage Décadaire'!O142,Utilisateurs!$D:$F,3,FALSE),"")</f>
        <v/>
      </c>
      <c r="O141" s="33" t="str">
        <f>IF('Comptage Décadaire'!P142&lt;&gt;"",VLOOKUP('Comptage Décadaire'!P142,Utilisateurs!$D:$F,3,FALSE),"")</f>
        <v/>
      </c>
      <c r="P141" s="33" t="str">
        <f>IF('Comptage Décadaire'!Q142&lt;&gt;"",VLOOKUP('Comptage Décadaire'!Q142,Utilisateurs!$D:$F,3,FALSE),"")</f>
        <v/>
      </c>
      <c r="Q141" s="33" t="str">
        <f>IF('Comptage Décadaire'!R142&lt;&gt;"",VLOOKUP('Comptage Décadaire'!R142,Utilisateurs!$D:$F,3,FALSE),"")</f>
        <v/>
      </c>
      <c r="R141" s="30" t="str">
        <f>IF('Comptage Décadaire'!S142&lt;&gt;"",VLOOKUP('Comptage Décadaire'!S142,Nomenclature!$N:$O,2,FALSE),"")</f>
        <v/>
      </c>
      <c r="S141" s="30" t="str">
        <f>IF('Comptage Décadaire'!T142&lt;&gt;"",VLOOKUP('Comptage Décadaire'!T142,'Comptage Décadaire'!T:T,1,FALSE),"")</f>
        <v/>
      </c>
      <c r="T141" s="30" t="str">
        <f>IF('Comptage Décadaire'!U142&lt;&gt;"",VLOOKUP('Comptage Décadaire'!U142,'Comptage Décadaire'!U:U,1,FALSE),"")</f>
        <v/>
      </c>
      <c r="U141" s="30" t="str">
        <f>IF('Comptage Décadaire'!V142&lt;&gt;"",VLOOKUP('Comptage Décadaire'!V142,'Comptage Décadaire'!V:V,1,FALSE),"")</f>
        <v/>
      </c>
      <c r="V141" s="30" t="str">
        <f>IF('Comptage Décadaire'!W142&lt;&gt;"",VLOOKUP('Comptage Décadaire'!W142,'Comptage Décadaire'!W:W,1,FALSE),"")</f>
        <v/>
      </c>
      <c r="W141" s="30" t="str">
        <f>IF('Comptage Décadaire'!X142&lt;&gt;"",VLOOKUP('Comptage Décadaire'!X142,'Comptage Décadaire'!X:X,1,FALSE),"")</f>
        <v/>
      </c>
      <c r="X141" s="30" t="str">
        <f>IF('Comptage Décadaire'!Y142&lt;&gt;"",VLOOKUP('Comptage Décadaire'!Y142,'Comptage Décadaire'!Y:Y,1,FALSE),"")</f>
        <v/>
      </c>
      <c r="Y141" s="30" t="str">
        <f>IF('Comptage Décadaire'!Z142&lt;&gt;"",VLOOKUP('Comptage Décadaire'!Z142,Nomenclature!$F$2:$G$7,2,FALSE),"")</f>
        <v/>
      </c>
      <c r="Z141" s="30" t="str">
        <f>IF('Comptage Décadaire'!AA142&lt;&gt;"",VLOOKUP('Comptage Décadaire'!AA142,Nomenclature!$H$2:$I$31,2,FALSE),"")</f>
        <v/>
      </c>
      <c r="AA141" s="30" t="str">
        <f>IF('Comptage Décadaire'!AB142&lt;&gt;"",VLOOKUP('Comptage Décadaire'!AB142,Nomenclature!$J$2:$K$21,2,FALSE),"")</f>
        <v/>
      </c>
      <c r="AB141" s="30" t="str">
        <f>IF('Comptage Décadaire'!AC142&lt;&gt;"",VLOOKUP('Comptage Décadaire'!AC142,'Comptage Décadaire'!AC:AC,1,FALSE),"")</f>
        <v/>
      </c>
      <c r="AC141" s="32" t="str">
        <f>IF('Comptage Décadaire'!AD142&lt;&gt;"",VLOOKUP('Comptage Décadaire'!AD142,Nomenclature!$L$2:$M$8,2,FALSE),"")</f>
        <v/>
      </c>
      <c r="AD141" s="32" t="str">
        <f>IF('Comptage Décadaire'!AE142&lt;&gt;"",VLOOKUP('Comptage Décadaire'!AE142,Utilisateurs!$D$2:$F$81,3,FALSE),"")</f>
        <v/>
      </c>
      <c r="AE141" s="35" t="str">
        <f>IF('Comptage Décadaire'!AF142&lt;&gt;"",VLOOKUP('Comptage Décadaire'!AF142,'Comptage Décadaire'!AF:AF,1,FALSE),"")</f>
        <v/>
      </c>
      <c r="AF141" s="32" t="str">
        <f>IF('Comptage Décadaire'!AG142&lt;&gt;"",VLOOKUP('Comptage Décadaire'!AG142,'Comptage Décadaire'!AG:AG,1,FALSE),"")</f>
        <v/>
      </c>
    </row>
    <row r="142" spans="1:32" x14ac:dyDescent="0.25">
      <c r="A142" s="25" t="str">
        <f>IF('Comptage Décadaire'!A143&lt;&gt;"",VLOOKUP('Comptage Décadaire'!A143,'Comptage Décadaire'!A:A,1,FALSE),"")</f>
        <v/>
      </c>
      <c r="B142" s="27" t="str">
        <f>IF('Comptage Décadaire'!B143&lt;&gt;"",VLOOKUP('Comptage Décadaire'!B143,'Comptage Décadaire'!B:B,1,FALSE),"")</f>
        <v/>
      </c>
      <c r="C142" s="28" t="str">
        <f>IF('Comptage Décadaire'!C143&lt;&gt;"",VLOOKUP('Comptage Décadaire'!C143,'Comptage Décadaire'!C:C,1,FALSE),"")</f>
        <v/>
      </c>
      <c r="D142" s="29" t="str">
        <f>IF('Comptage Décadaire'!D143&lt;&gt;"",VLOOKUP('Comptage Décadaire'!D143,Sites!$A:$B,2,FALSE),"")</f>
        <v/>
      </c>
      <c r="E142" s="29" t="str">
        <f>IF('Comptage Décadaire'!E143&lt;&gt;"",VLOOKUP('Comptage Décadaire'!E143,'Comptage Décadaire'!E:E,1,FALSE),"")</f>
        <v/>
      </c>
      <c r="F142" s="29" t="str">
        <f>IF('Comptage Décadaire'!F143&lt;&gt;"",VLOOKUP('Comptage Décadaire'!F143,Nomenclature!$B$2:$C$4,2,FALSE),"")</f>
        <v/>
      </c>
      <c r="G142" s="29" t="str">
        <f>IF('Comptage Décadaire'!G143&lt;&gt;"",VLOOKUP('Comptage Décadaire'!G143,'Comptage Décadaire'!G:G,1,FALSE),"")</f>
        <v/>
      </c>
      <c r="H142" s="29" t="str">
        <f>IF('Comptage Décadaire'!H143&lt;&gt;"",VLOOKUP('Comptage Décadaire'!H143,Nomenclature!$D$2:$E$7,2,FALSE),"")</f>
        <v/>
      </c>
      <c r="I142" s="30" t="str">
        <f>IF('Comptage Décadaire'!J143&lt;&gt;"",VLOOKUP('Comptage Décadaire'!J143,'Comptage Décadaire'!J:J,1,FALSE),"")</f>
        <v/>
      </c>
      <c r="J142" s="30" t="str">
        <f>IF('Comptage Décadaire'!K143&lt;&gt;"",VLOOKUP('Comptage Décadaire'!K143,'Comptage Décadaire'!K:K,1,FALSE),"")</f>
        <v/>
      </c>
      <c r="K142" s="30" t="str">
        <f>IF('Comptage Décadaire'!L143&lt;&gt;"",VLOOKUP('Comptage Décadaire'!L143,'Comptage Décadaire'!L:L,1,FALSE),"")</f>
        <v/>
      </c>
      <c r="L142" s="31" t="str">
        <f>IF('Comptage Décadaire'!M143&lt;&gt;"",VLOOKUP('Comptage Décadaire'!M143,'Comptage Décadaire'!M:M,1,FALSE),"")</f>
        <v/>
      </c>
      <c r="M142" s="33" t="str">
        <f>IF('Comptage Décadaire'!N143&lt;&gt;"",VLOOKUP('Comptage Décadaire'!N143,Utilisateurs!$D:$F,3,FALSE),"")</f>
        <v/>
      </c>
      <c r="N142" s="33" t="str">
        <f>IF('Comptage Décadaire'!O143&lt;&gt;"",VLOOKUP('Comptage Décadaire'!O143,Utilisateurs!$D:$F,3,FALSE),"")</f>
        <v/>
      </c>
      <c r="O142" s="33" t="str">
        <f>IF('Comptage Décadaire'!P143&lt;&gt;"",VLOOKUP('Comptage Décadaire'!P143,Utilisateurs!$D:$F,3,FALSE),"")</f>
        <v/>
      </c>
      <c r="P142" s="33" t="str">
        <f>IF('Comptage Décadaire'!Q143&lt;&gt;"",VLOOKUP('Comptage Décadaire'!Q143,Utilisateurs!$D:$F,3,FALSE),"")</f>
        <v/>
      </c>
      <c r="Q142" s="33" t="str">
        <f>IF('Comptage Décadaire'!R143&lt;&gt;"",VLOOKUP('Comptage Décadaire'!R143,Utilisateurs!$D:$F,3,FALSE),"")</f>
        <v/>
      </c>
      <c r="R142" s="30" t="str">
        <f>IF('Comptage Décadaire'!S143&lt;&gt;"",VLOOKUP('Comptage Décadaire'!S143,Nomenclature!$N:$O,2,FALSE),"")</f>
        <v/>
      </c>
      <c r="S142" s="30" t="str">
        <f>IF('Comptage Décadaire'!T143&lt;&gt;"",VLOOKUP('Comptage Décadaire'!T143,'Comptage Décadaire'!T:T,1,FALSE),"")</f>
        <v/>
      </c>
      <c r="T142" s="30" t="str">
        <f>IF('Comptage Décadaire'!U143&lt;&gt;"",VLOOKUP('Comptage Décadaire'!U143,'Comptage Décadaire'!U:U,1,FALSE),"")</f>
        <v/>
      </c>
      <c r="U142" s="30" t="str">
        <f>IF('Comptage Décadaire'!V143&lt;&gt;"",VLOOKUP('Comptage Décadaire'!V143,'Comptage Décadaire'!V:V,1,FALSE),"")</f>
        <v/>
      </c>
      <c r="V142" s="30" t="str">
        <f>IF('Comptage Décadaire'!W143&lt;&gt;"",VLOOKUP('Comptage Décadaire'!W143,'Comptage Décadaire'!W:W,1,FALSE),"")</f>
        <v/>
      </c>
      <c r="W142" s="30" t="str">
        <f>IF('Comptage Décadaire'!X143&lt;&gt;"",VLOOKUP('Comptage Décadaire'!X143,'Comptage Décadaire'!X:X,1,FALSE),"")</f>
        <v/>
      </c>
      <c r="X142" s="30" t="str">
        <f>IF('Comptage Décadaire'!Y143&lt;&gt;"",VLOOKUP('Comptage Décadaire'!Y143,'Comptage Décadaire'!Y:Y,1,FALSE),"")</f>
        <v/>
      </c>
      <c r="Y142" s="30" t="str">
        <f>IF('Comptage Décadaire'!Z143&lt;&gt;"",VLOOKUP('Comptage Décadaire'!Z143,Nomenclature!$F$2:$G$7,2,FALSE),"")</f>
        <v/>
      </c>
      <c r="Z142" s="30" t="str">
        <f>IF('Comptage Décadaire'!AA143&lt;&gt;"",VLOOKUP('Comptage Décadaire'!AA143,Nomenclature!$H$2:$I$31,2,FALSE),"")</f>
        <v/>
      </c>
      <c r="AA142" s="30" t="str">
        <f>IF('Comptage Décadaire'!AB143&lt;&gt;"",VLOOKUP('Comptage Décadaire'!AB143,Nomenclature!$J$2:$K$21,2,FALSE),"")</f>
        <v/>
      </c>
      <c r="AB142" s="30" t="str">
        <f>IF('Comptage Décadaire'!AC143&lt;&gt;"",VLOOKUP('Comptage Décadaire'!AC143,'Comptage Décadaire'!AC:AC,1,FALSE),"")</f>
        <v/>
      </c>
      <c r="AC142" s="32" t="str">
        <f>IF('Comptage Décadaire'!AD143&lt;&gt;"",VLOOKUP('Comptage Décadaire'!AD143,Nomenclature!$L$2:$M$8,2,FALSE),"")</f>
        <v/>
      </c>
      <c r="AD142" s="32" t="str">
        <f>IF('Comptage Décadaire'!AE143&lt;&gt;"",VLOOKUP('Comptage Décadaire'!AE143,Utilisateurs!$D$2:$F$81,3,FALSE),"")</f>
        <v/>
      </c>
      <c r="AE142" s="35" t="str">
        <f>IF('Comptage Décadaire'!AF143&lt;&gt;"",VLOOKUP('Comptage Décadaire'!AF143,'Comptage Décadaire'!AF:AF,1,FALSE),"")</f>
        <v/>
      </c>
      <c r="AF142" s="32" t="str">
        <f>IF('Comptage Décadaire'!AG143&lt;&gt;"",VLOOKUP('Comptage Décadaire'!AG143,'Comptage Décadaire'!AG:AG,1,FALSE),"")</f>
        <v/>
      </c>
    </row>
    <row r="143" spans="1:32" x14ac:dyDescent="0.25">
      <c r="A143" s="25" t="str">
        <f>IF('Comptage Décadaire'!A144&lt;&gt;"",VLOOKUP('Comptage Décadaire'!A144,'Comptage Décadaire'!A:A,1,FALSE),"")</f>
        <v/>
      </c>
      <c r="B143" s="27" t="str">
        <f>IF('Comptage Décadaire'!B144&lt;&gt;"",VLOOKUP('Comptage Décadaire'!B144,'Comptage Décadaire'!B:B,1,FALSE),"")</f>
        <v/>
      </c>
      <c r="C143" s="28" t="str">
        <f>IF('Comptage Décadaire'!C144&lt;&gt;"",VLOOKUP('Comptage Décadaire'!C144,'Comptage Décadaire'!C:C,1,FALSE),"")</f>
        <v/>
      </c>
      <c r="D143" s="29" t="str">
        <f>IF('Comptage Décadaire'!D144&lt;&gt;"",VLOOKUP('Comptage Décadaire'!D144,Sites!$A:$B,2,FALSE),"")</f>
        <v/>
      </c>
      <c r="E143" s="29" t="str">
        <f>IF('Comptage Décadaire'!E144&lt;&gt;"",VLOOKUP('Comptage Décadaire'!E144,'Comptage Décadaire'!E:E,1,FALSE),"")</f>
        <v/>
      </c>
      <c r="F143" s="29" t="str">
        <f>IF('Comptage Décadaire'!F144&lt;&gt;"",VLOOKUP('Comptage Décadaire'!F144,Nomenclature!$B$2:$C$4,2,FALSE),"")</f>
        <v/>
      </c>
      <c r="G143" s="29" t="str">
        <f>IF('Comptage Décadaire'!G144&lt;&gt;"",VLOOKUP('Comptage Décadaire'!G144,'Comptage Décadaire'!G:G,1,FALSE),"")</f>
        <v/>
      </c>
      <c r="H143" s="29" t="str">
        <f>IF('Comptage Décadaire'!H144&lt;&gt;"",VLOOKUP('Comptage Décadaire'!H144,Nomenclature!$D$2:$E$7,2,FALSE),"")</f>
        <v/>
      </c>
      <c r="I143" s="30" t="str">
        <f>IF('Comptage Décadaire'!J144&lt;&gt;"",VLOOKUP('Comptage Décadaire'!J144,'Comptage Décadaire'!J:J,1,FALSE),"")</f>
        <v/>
      </c>
      <c r="J143" s="30" t="str">
        <f>IF('Comptage Décadaire'!K144&lt;&gt;"",VLOOKUP('Comptage Décadaire'!K144,'Comptage Décadaire'!K:K,1,FALSE),"")</f>
        <v/>
      </c>
      <c r="K143" s="30" t="str">
        <f>IF('Comptage Décadaire'!L144&lt;&gt;"",VLOOKUP('Comptage Décadaire'!L144,'Comptage Décadaire'!L:L,1,FALSE),"")</f>
        <v/>
      </c>
      <c r="L143" s="31" t="str">
        <f>IF('Comptage Décadaire'!M144&lt;&gt;"",VLOOKUP('Comptage Décadaire'!M144,'Comptage Décadaire'!M:M,1,FALSE),"")</f>
        <v/>
      </c>
      <c r="M143" s="33" t="str">
        <f>IF('Comptage Décadaire'!N144&lt;&gt;"",VLOOKUP('Comptage Décadaire'!N144,Utilisateurs!$D:$F,3,FALSE),"")</f>
        <v/>
      </c>
      <c r="N143" s="33" t="str">
        <f>IF('Comptage Décadaire'!O144&lt;&gt;"",VLOOKUP('Comptage Décadaire'!O144,Utilisateurs!$D:$F,3,FALSE),"")</f>
        <v/>
      </c>
      <c r="O143" s="33" t="str">
        <f>IF('Comptage Décadaire'!P144&lt;&gt;"",VLOOKUP('Comptage Décadaire'!P144,Utilisateurs!$D:$F,3,FALSE),"")</f>
        <v/>
      </c>
      <c r="P143" s="33" t="str">
        <f>IF('Comptage Décadaire'!Q144&lt;&gt;"",VLOOKUP('Comptage Décadaire'!Q144,Utilisateurs!$D:$F,3,FALSE),"")</f>
        <v/>
      </c>
      <c r="Q143" s="33" t="str">
        <f>IF('Comptage Décadaire'!R144&lt;&gt;"",VLOOKUP('Comptage Décadaire'!R144,Utilisateurs!$D:$F,3,FALSE),"")</f>
        <v/>
      </c>
      <c r="R143" s="30" t="str">
        <f>IF('Comptage Décadaire'!S144&lt;&gt;"",VLOOKUP('Comptage Décadaire'!S144,Nomenclature!$N:$O,2,FALSE),"")</f>
        <v/>
      </c>
      <c r="S143" s="30" t="str">
        <f>IF('Comptage Décadaire'!T144&lt;&gt;"",VLOOKUP('Comptage Décadaire'!T144,'Comptage Décadaire'!T:T,1,FALSE),"")</f>
        <v/>
      </c>
      <c r="T143" s="30" t="str">
        <f>IF('Comptage Décadaire'!U144&lt;&gt;"",VLOOKUP('Comptage Décadaire'!U144,'Comptage Décadaire'!U:U,1,FALSE),"")</f>
        <v/>
      </c>
      <c r="U143" s="30" t="str">
        <f>IF('Comptage Décadaire'!V144&lt;&gt;"",VLOOKUP('Comptage Décadaire'!V144,'Comptage Décadaire'!V:V,1,FALSE),"")</f>
        <v/>
      </c>
      <c r="V143" s="30" t="str">
        <f>IF('Comptage Décadaire'!W144&lt;&gt;"",VLOOKUP('Comptage Décadaire'!W144,'Comptage Décadaire'!W:W,1,FALSE),"")</f>
        <v/>
      </c>
      <c r="W143" s="30" t="str">
        <f>IF('Comptage Décadaire'!X144&lt;&gt;"",VLOOKUP('Comptage Décadaire'!X144,'Comptage Décadaire'!X:X,1,FALSE),"")</f>
        <v/>
      </c>
      <c r="X143" s="30" t="str">
        <f>IF('Comptage Décadaire'!Y144&lt;&gt;"",VLOOKUP('Comptage Décadaire'!Y144,'Comptage Décadaire'!Y:Y,1,FALSE),"")</f>
        <v/>
      </c>
      <c r="Y143" s="30" t="str">
        <f>IF('Comptage Décadaire'!Z144&lt;&gt;"",VLOOKUP('Comptage Décadaire'!Z144,Nomenclature!$F$2:$G$7,2,FALSE),"")</f>
        <v/>
      </c>
      <c r="Z143" s="30" t="str">
        <f>IF('Comptage Décadaire'!AA144&lt;&gt;"",VLOOKUP('Comptage Décadaire'!AA144,Nomenclature!$H$2:$I$31,2,FALSE),"")</f>
        <v/>
      </c>
      <c r="AA143" s="30" t="str">
        <f>IF('Comptage Décadaire'!AB144&lt;&gt;"",VLOOKUP('Comptage Décadaire'!AB144,Nomenclature!$J$2:$K$21,2,FALSE),"")</f>
        <v/>
      </c>
      <c r="AB143" s="30" t="str">
        <f>IF('Comptage Décadaire'!AC144&lt;&gt;"",VLOOKUP('Comptage Décadaire'!AC144,'Comptage Décadaire'!AC:AC,1,FALSE),"")</f>
        <v/>
      </c>
      <c r="AC143" s="32" t="str">
        <f>IF('Comptage Décadaire'!AD144&lt;&gt;"",VLOOKUP('Comptage Décadaire'!AD144,Nomenclature!$L$2:$M$8,2,FALSE),"")</f>
        <v/>
      </c>
      <c r="AD143" s="32" t="str">
        <f>IF('Comptage Décadaire'!AE144&lt;&gt;"",VLOOKUP('Comptage Décadaire'!AE144,Utilisateurs!$D$2:$F$81,3,FALSE),"")</f>
        <v/>
      </c>
      <c r="AE143" s="35" t="str">
        <f>IF('Comptage Décadaire'!AF144&lt;&gt;"",VLOOKUP('Comptage Décadaire'!AF144,'Comptage Décadaire'!AF:AF,1,FALSE),"")</f>
        <v/>
      </c>
      <c r="AF143" s="32" t="str">
        <f>IF('Comptage Décadaire'!AG144&lt;&gt;"",VLOOKUP('Comptage Décadaire'!AG144,'Comptage Décadaire'!AG:AG,1,FALSE),"")</f>
        <v/>
      </c>
    </row>
    <row r="144" spans="1:32" x14ac:dyDescent="0.25">
      <c r="A144" s="25" t="str">
        <f>IF('Comptage Décadaire'!A145&lt;&gt;"",VLOOKUP('Comptage Décadaire'!A145,'Comptage Décadaire'!A:A,1,FALSE),"")</f>
        <v/>
      </c>
      <c r="B144" s="27" t="str">
        <f>IF('Comptage Décadaire'!B145&lt;&gt;"",VLOOKUP('Comptage Décadaire'!B145,'Comptage Décadaire'!B:B,1,FALSE),"")</f>
        <v/>
      </c>
      <c r="C144" s="28" t="str">
        <f>IF('Comptage Décadaire'!C145&lt;&gt;"",VLOOKUP('Comptage Décadaire'!C145,'Comptage Décadaire'!C:C,1,FALSE),"")</f>
        <v/>
      </c>
      <c r="D144" s="29" t="str">
        <f>IF('Comptage Décadaire'!D145&lt;&gt;"",VLOOKUP('Comptage Décadaire'!D145,Sites!$A:$B,2,FALSE),"")</f>
        <v/>
      </c>
      <c r="E144" s="29" t="str">
        <f>IF('Comptage Décadaire'!E145&lt;&gt;"",VLOOKUP('Comptage Décadaire'!E145,'Comptage Décadaire'!E:E,1,FALSE),"")</f>
        <v/>
      </c>
      <c r="F144" s="29" t="str">
        <f>IF('Comptage Décadaire'!F145&lt;&gt;"",VLOOKUP('Comptage Décadaire'!F145,Nomenclature!$B$2:$C$4,2,FALSE),"")</f>
        <v/>
      </c>
      <c r="G144" s="29" t="str">
        <f>IF('Comptage Décadaire'!G145&lt;&gt;"",VLOOKUP('Comptage Décadaire'!G145,'Comptage Décadaire'!G:G,1,FALSE),"")</f>
        <v/>
      </c>
      <c r="H144" s="29" t="str">
        <f>IF('Comptage Décadaire'!H145&lt;&gt;"",VLOOKUP('Comptage Décadaire'!H145,Nomenclature!$D$2:$E$7,2,FALSE),"")</f>
        <v/>
      </c>
      <c r="I144" s="30" t="str">
        <f>IF('Comptage Décadaire'!J145&lt;&gt;"",VLOOKUP('Comptage Décadaire'!J145,'Comptage Décadaire'!J:J,1,FALSE),"")</f>
        <v/>
      </c>
      <c r="J144" s="30" t="str">
        <f>IF('Comptage Décadaire'!K145&lt;&gt;"",VLOOKUP('Comptage Décadaire'!K145,'Comptage Décadaire'!K:K,1,FALSE),"")</f>
        <v/>
      </c>
      <c r="K144" s="30" t="str">
        <f>IF('Comptage Décadaire'!L145&lt;&gt;"",VLOOKUP('Comptage Décadaire'!L145,'Comptage Décadaire'!L:L,1,FALSE),"")</f>
        <v/>
      </c>
      <c r="L144" s="31" t="str">
        <f>IF('Comptage Décadaire'!M145&lt;&gt;"",VLOOKUP('Comptage Décadaire'!M145,'Comptage Décadaire'!M:M,1,FALSE),"")</f>
        <v/>
      </c>
      <c r="M144" s="33" t="str">
        <f>IF('Comptage Décadaire'!N145&lt;&gt;"",VLOOKUP('Comptage Décadaire'!N145,Utilisateurs!$D:$F,3,FALSE),"")</f>
        <v/>
      </c>
      <c r="N144" s="33" t="str">
        <f>IF('Comptage Décadaire'!O145&lt;&gt;"",VLOOKUP('Comptage Décadaire'!O145,Utilisateurs!$D:$F,3,FALSE),"")</f>
        <v/>
      </c>
      <c r="O144" s="33" t="str">
        <f>IF('Comptage Décadaire'!P145&lt;&gt;"",VLOOKUP('Comptage Décadaire'!P145,Utilisateurs!$D:$F,3,FALSE),"")</f>
        <v/>
      </c>
      <c r="P144" s="33" t="str">
        <f>IF('Comptage Décadaire'!Q145&lt;&gt;"",VLOOKUP('Comptage Décadaire'!Q145,Utilisateurs!$D:$F,3,FALSE),"")</f>
        <v/>
      </c>
      <c r="Q144" s="33" t="str">
        <f>IF('Comptage Décadaire'!R145&lt;&gt;"",VLOOKUP('Comptage Décadaire'!R145,Utilisateurs!$D:$F,3,FALSE),"")</f>
        <v/>
      </c>
      <c r="R144" s="30" t="str">
        <f>IF('Comptage Décadaire'!S145&lt;&gt;"",VLOOKUP('Comptage Décadaire'!S145,Nomenclature!$N:$O,2,FALSE),"")</f>
        <v/>
      </c>
      <c r="S144" s="30" t="str">
        <f>IF('Comptage Décadaire'!T145&lt;&gt;"",VLOOKUP('Comptage Décadaire'!T145,'Comptage Décadaire'!T:T,1,FALSE),"")</f>
        <v/>
      </c>
      <c r="T144" s="30" t="str">
        <f>IF('Comptage Décadaire'!U145&lt;&gt;"",VLOOKUP('Comptage Décadaire'!U145,'Comptage Décadaire'!U:U,1,FALSE),"")</f>
        <v/>
      </c>
      <c r="U144" s="30" t="str">
        <f>IF('Comptage Décadaire'!V145&lt;&gt;"",VLOOKUP('Comptage Décadaire'!V145,'Comptage Décadaire'!V:V,1,FALSE),"")</f>
        <v/>
      </c>
      <c r="V144" s="30" t="str">
        <f>IF('Comptage Décadaire'!W145&lt;&gt;"",VLOOKUP('Comptage Décadaire'!W145,'Comptage Décadaire'!W:W,1,FALSE),"")</f>
        <v/>
      </c>
      <c r="W144" s="30" t="str">
        <f>IF('Comptage Décadaire'!X145&lt;&gt;"",VLOOKUP('Comptage Décadaire'!X145,'Comptage Décadaire'!X:X,1,FALSE),"")</f>
        <v/>
      </c>
      <c r="X144" s="30" t="str">
        <f>IF('Comptage Décadaire'!Y145&lt;&gt;"",VLOOKUP('Comptage Décadaire'!Y145,'Comptage Décadaire'!Y:Y,1,FALSE),"")</f>
        <v/>
      </c>
      <c r="Y144" s="30" t="str">
        <f>IF('Comptage Décadaire'!Z145&lt;&gt;"",VLOOKUP('Comptage Décadaire'!Z145,Nomenclature!$F$2:$G$7,2,FALSE),"")</f>
        <v/>
      </c>
      <c r="Z144" s="30" t="str">
        <f>IF('Comptage Décadaire'!AA145&lt;&gt;"",VLOOKUP('Comptage Décadaire'!AA145,Nomenclature!$H$2:$I$31,2,FALSE),"")</f>
        <v/>
      </c>
      <c r="AA144" s="30" t="str">
        <f>IF('Comptage Décadaire'!AB145&lt;&gt;"",VLOOKUP('Comptage Décadaire'!AB145,Nomenclature!$J$2:$K$21,2,FALSE),"")</f>
        <v/>
      </c>
      <c r="AB144" s="30" t="str">
        <f>IF('Comptage Décadaire'!AC145&lt;&gt;"",VLOOKUP('Comptage Décadaire'!AC145,'Comptage Décadaire'!AC:AC,1,FALSE),"")</f>
        <v/>
      </c>
      <c r="AC144" s="32" t="str">
        <f>IF('Comptage Décadaire'!AD145&lt;&gt;"",VLOOKUP('Comptage Décadaire'!AD145,Nomenclature!$L$2:$M$8,2,FALSE),"")</f>
        <v/>
      </c>
      <c r="AD144" s="32" t="str">
        <f>IF('Comptage Décadaire'!AE145&lt;&gt;"",VLOOKUP('Comptage Décadaire'!AE145,Utilisateurs!$D$2:$F$81,3,FALSE),"")</f>
        <v/>
      </c>
      <c r="AE144" s="35" t="str">
        <f>IF('Comptage Décadaire'!AF145&lt;&gt;"",VLOOKUP('Comptage Décadaire'!AF145,'Comptage Décadaire'!AF:AF,1,FALSE),"")</f>
        <v/>
      </c>
      <c r="AF144" s="32" t="str">
        <f>IF('Comptage Décadaire'!AG145&lt;&gt;"",VLOOKUP('Comptage Décadaire'!AG145,'Comptage Décadaire'!AG:AG,1,FALSE),"")</f>
        <v/>
      </c>
    </row>
    <row r="145" spans="1:32" x14ac:dyDescent="0.25">
      <c r="A145" s="25" t="str">
        <f>IF('Comptage Décadaire'!A146&lt;&gt;"",VLOOKUP('Comptage Décadaire'!A146,'Comptage Décadaire'!A:A,1,FALSE),"")</f>
        <v/>
      </c>
      <c r="B145" s="27" t="str">
        <f>IF('Comptage Décadaire'!B146&lt;&gt;"",VLOOKUP('Comptage Décadaire'!B146,'Comptage Décadaire'!B:B,1,FALSE),"")</f>
        <v/>
      </c>
      <c r="C145" s="28" t="str">
        <f>IF('Comptage Décadaire'!C146&lt;&gt;"",VLOOKUP('Comptage Décadaire'!C146,'Comptage Décadaire'!C:C,1,FALSE),"")</f>
        <v/>
      </c>
      <c r="D145" s="29" t="str">
        <f>IF('Comptage Décadaire'!D146&lt;&gt;"",VLOOKUP('Comptage Décadaire'!D146,Sites!$A:$B,2,FALSE),"")</f>
        <v/>
      </c>
      <c r="E145" s="29" t="str">
        <f>IF('Comptage Décadaire'!E146&lt;&gt;"",VLOOKUP('Comptage Décadaire'!E146,'Comptage Décadaire'!E:E,1,FALSE),"")</f>
        <v/>
      </c>
      <c r="F145" s="29" t="str">
        <f>IF('Comptage Décadaire'!F146&lt;&gt;"",VLOOKUP('Comptage Décadaire'!F146,Nomenclature!$B$2:$C$4,2,FALSE),"")</f>
        <v/>
      </c>
      <c r="G145" s="29" t="str">
        <f>IF('Comptage Décadaire'!G146&lt;&gt;"",VLOOKUP('Comptage Décadaire'!G146,'Comptage Décadaire'!G:G,1,FALSE),"")</f>
        <v/>
      </c>
      <c r="H145" s="29" t="str">
        <f>IF('Comptage Décadaire'!H146&lt;&gt;"",VLOOKUP('Comptage Décadaire'!H146,Nomenclature!$D$2:$E$7,2,FALSE),"")</f>
        <v/>
      </c>
      <c r="I145" s="30" t="str">
        <f>IF('Comptage Décadaire'!J146&lt;&gt;"",VLOOKUP('Comptage Décadaire'!J146,'Comptage Décadaire'!J:J,1,FALSE),"")</f>
        <v/>
      </c>
      <c r="J145" s="30" t="str">
        <f>IF('Comptage Décadaire'!K146&lt;&gt;"",VLOOKUP('Comptage Décadaire'!K146,'Comptage Décadaire'!K:K,1,FALSE),"")</f>
        <v/>
      </c>
      <c r="K145" s="30" t="str">
        <f>IF('Comptage Décadaire'!L146&lt;&gt;"",VLOOKUP('Comptage Décadaire'!L146,'Comptage Décadaire'!L:L,1,FALSE),"")</f>
        <v/>
      </c>
      <c r="L145" s="31" t="str">
        <f>IF('Comptage Décadaire'!M146&lt;&gt;"",VLOOKUP('Comptage Décadaire'!M146,'Comptage Décadaire'!M:M,1,FALSE),"")</f>
        <v/>
      </c>
      <c r="M145" s="33" t="str">
        <f>IF('Comptage Décadaire'!N146&lt;&gt;"",VLOOKUP('Comptage Décadaire'!N146,Utilisateurs!$D:$F,3,FALSE),"")</f>
        <v/>
      </c>
      <c r="N145" s="33" t="str">
        <f>IF('Comptage Décadaire'!O146&lt;&gt;"",VLOOKUP('Comptage Décadaire'!O146,Utilisateurs!$D:$F,3,FALSE),"")</f>
        <v/>
      </c>
      <c r="O145" s="33" t="str">
        <f>IF('Comptage Décadaire'!P146&lt;&gt;"",VLOOKUP('Comptage Décadaire'!P146,Utilisateurs!$D:$F,3,FALSE),"")</f>
        <v/>
      </c>
      <c r="P145" s="33" t="str">
        <f>IF('Comptage Décadaire'!Q146&lt;&gt;"",VLOOKUP('Comptage Décadaire'!Q146,Utilisateurs!$D:$F,3,FALSE),"")</f>
        <v/>
      </c>
      <c r="Q145" s="33" t="str">
        <f>IF('Comptage Décadaire'!R146&lt;&gt;"",VLOOKUP('Comptage Décadaire'!R146,Utilisateurs!$D:$F,3,FALSE),"")</f>
        <v/>
      </c>
      <c r="R145" s="30" t="str">
        <f>IF('Comptage Décadaire'!S146&lt;&gt;"",VLOOKUP('Comptage Décadaire'!S146,Nomenclature!$N:$O,2,FALSE),"")</f>
        <v/>
      </c>
      <c r="S145" s="30" t="str">
        <f>IF('Comptage Décadaire'!T146&lt;&gt;"",VLOOKUP('Comptage Décadaire'!T146,'Comptage Décadaire'!T:T,1,FALSE),"")</f>
        <v/>
      </c>
      <c r="T145" s="30" t="str">
        <f>IF('Comptage Décadaire'!U146&lt;&gt;"",VLOOKUP('Comptage Décadaire'!U146,'Comptage Décadaire'!U:U,1,FALSE),"")</f>
        <v/>
      </c>
      <c r="U145" s="30" t="str">
        <f>IF('Comptage Décadaire'!V146&lt;&gt;"",VLOOKUP('Comptage Décadaire'!V146,'Comptage Décadaire'!V:V,1,FALSE),"")</f>
        <v/>
      </c>
      <c r="V145" s="30" t="str">
        <f>IF('Comptage Décadaire'!W146&lt;&gt;"",VLOOKUP('Comptage Décadaire'!W146,'Comptage Décadaire'!W:W,1,FALSE),"")</f>
        <v/>
      </c>
      <c r="W145" s="30" t="str">
        <f>IF('Comptage Décadaire'!X146&lt;&gt;"",VLOOKUP('Comptage Décadaire'!X146,'Comptage Décadaire'!X:X,1,FALSE),"")</f>
        <v/>
      </c>
      <c r="X145" s="30" t="str">
        <f>IF('Comptage Décadaire'!Y146&lt;&gt;"",VLOOKUP('Comptage Décadaire'!Y146,'Comptage Décadaire'!Y:Y,1,FALSE),"")</f>
        <v/>
      </c>
      <c r="Y145" s="30" t="str">
        <f>IF('Comptage Décadaire'!Z146&lt;&gt;"",VLOOKUP('Comptage Décadaire'!Z146,Nomenclature!$F$2:$G$7,2,FALSE),"")</f>
        <v/>
      </c>
      <c r="Z145" s="30" t="str">
        <f>IF('Comptage Décadaire'!AA146&lt;&gt;"",VLOOKUP('Comptage Décadaire'!AA146,Nomenclature!$H$2:$I$31,2,FALSE),"")</f>
        <v/>
      </c>
      <c r="AA145" s="30" t="str">
        <f>IF('Comptage Décadaire'!AB146&lt;&gt;"",VLOOKUP('Comptage Décadaire'!AB146,Nomenclature!$J$2:$K$21,2,FALSE),"")</f>
        <v/>
      </c>
      <c r="AB145" s="30" t="str">
        <f>IF('Comptage Décadaire'!AC146&lt;&gt;"",VLOOKUP('Comptage Décadaire'!AC146,'Comptage Décadaire'!AC:AC,1,FALSE),"")</f>
        <v/>
      </c>
      <c r="AC145" s="32" t="str">
        <f>IF('Comptage Décadaire'!AD146&lt;&gt;"",VLOOKUP('Comptage Décadaire'!AD146,Nomenclature!$L$2:$M$8,2,FALSE),"")</f>
        <v/>
      </c>
      <c r="AD145" s="32" t="str">
        <f>IF('Comptage Décadaire'!AE146&lt;&gt;"",VLOOKUP('Comptage Décadaire'!AE146,Utilisateurs!$D$2:$F$81,3,FALSE),"")</f>
        <v/>
      </c>
      <c r="AE145" s="35" t="str">
        <f>IF('Comptage Décadaire'!AF146&lt;&gt;"",VLOOKUP('Comptage Décadaire'!AF146,'Comptage Décadaire'!AF:AF,1,FALSE),"")</f>
        <v/>
      </c>
      <c r="AF145" s="32" t="str">
        <f>IF('Comptage Décadaire'!AG146&lt;&gt;"",VLOOKUP('Comptage Décadaire'!AG146,'Comptage Décadaire'!AG:AG,1,FALSE),"")</f>
        <v/>
      </c>
    </row>
    <row r="146" spans="1:32" x14ac:dyDescent="0.25">
      <c r="A146" s="25" t="str">
        <f>IF('Comptage Décadaire'!A147&lt;&gt;"",VLOOKUP('Comptage Décadaire'!A147,'Comptage Décadaire'!A:A,1,FALSE),"")</f>
        <v/>
      </c>
      <c r="B146" s="27" t="str">
        <f>IF('Comptage Décadaire'!B147&lt;&gt;"",VLOOKUP('Comptage Décadaire'!B147,'Comptage Décadaire'!B:B,1,FALSE),"")</f>
        <v/>
      </c>
      <c r="C146" s="28" t="str">
        <f>IF('Comptage Décadaire'!C147&lt;&gt;"",VLOOKUP('Comptage Décadaire'!C147,'Comptage Décadaire'!C:C,1,FALSE),"")</f>
        <v/>
      </c>
      <c r="D146" s="29" t="str">
        <f>IF('Comptage Décadaire'!D147&lt;&gt;"",VLOOKUP('Comptage Décadaire'!D147,Sites!$A:$B,2,FALSE),"")</f>
        <v/>
      </c>
      <c r="E146" s="29" t="str">
        <f>IF('Comptage Décadaire'!E147&lt;&gt;"",VLOOKUP('Comptage Décadaire'!E147,'Comptage Décadaire'!E:E,1,FALSE),"")</f>
        <v/>
      </c>
      <c r="F146" s="29" t="str">
        <f>IF('Comptage Décadaire'!F147&lt;&gt;"",VLOOKUP('Comptage Décadaire'!F147,Nomenclature!$B$2:$C$4,2,FALSE),"")</f>
        <v/>
      </c>
      <c r="G146" s="29" t="str">
        <f>IF('Comptage Décadaire'!G147&lt;&gt;"",VLOOKUP('Comptage Décadaire'!G147,'Comptage Décadaire'!G:G,1,FALSE),"")</f>
        <v/>
      </c>
      <c r="H146" s="29" t="str">
        <f>IF('Comptage Décadaire'!H147&lt;&gt;"",VLOOKUP('Comptage Décadaire'!H147,Nomenclature!$D$2:$E$7,2,FALSE),"")</f>
        <v/>
      </c>
      <c r="I146" s="30" t="str">
        <f>IF('Comptage Décadaire'!J147&lt;&gt;"",VLOOKUP('Comptage Décadaire'!J147,'Comptage Décadaire'!J:J,1,FALSE),"")</f>
        <v/>
      </c>
      <c r="J146" s="30" t="str">
        <f>IF('Comptage Décadaire'!K147&lt;&gt;"",VLOOKUP('Comptage Décadaire'!K147,'Comptage Décadaire'!K:K,1,FALSE),"")</f>
        <v/>
      </c>
      <c r="K146" s="30" t="str">
        <f>IF('Comptage Décadaire'!L147&lt;&gt;"",VLOOKUP('Comptage Décadaire'!L147,'Comptage Décadaire'!L:L,1,FALSE),"")</f>
        <v/>
      </c>
      <c r="L146" s="31" t="str">
        <f>IF('Comptage Décadaire'!M147&lt;&gt;"",VLOOKUP('Comptage Décadaire'!M147,'Comptage Décadaire'!M:M,1,FALSE),"")</f>
        <v/>
      </c>
      <c r="M146" s="33" t="str">
        <f>IF('Comptage Décadaire'!N147&lt;&gt;"",VLOOKUP('Comptage Décadaire'!N147,Utilisateurs!$D:$F,3,FALSE),"")</f>
        <v/>
      </c>
      <c r="N146" s="33" t="str">
        <f>IF('Comptage Décadaire'!O147&lt;&gt;"",VLOOKUP('Comptage Décadaire'!O147,Utilisateurs!$D:$F,3,FALSE),"")</f>
        <v/>
      </c>
      <c r="O146" s="33" t="str">
        <f>IF('Comptage Décadaire'!P147&lt;&gt;"",VLOOKUP('Comptage Décadaire'!P147,Utilisateurs!$D:$F,3,FALSE),"")</f>
        <v/>
      </c>
      <c r="P146" s="33" t="str">
        <f>IF('Comptage Décadaire'!Q147&lt;&gt;"",VLOOKUP('Comptage Décadaire'!Q147,Utilisateurs!$D:$F,3,FALSE),"")</f>
        <v/>
      </c>
      <c r="Q146" s="33" t="str">
        <f>IF('Comptage Décadaire'!R147&lt;&gt;"",VLOOKUP('Comptage Décadaire'!R147,Utilisateurs!$D:$F,3,FALSE),"")</f>
        <v/>
      </c>
      <c r="R146" s="30" t="str">
        <f>IF('Comptage Décadaire'!S147&lt;&gt;"",VLOOKUP('Comptage Décadaire'!S147,Nomenclature!$N:$O,2,FALSE),"")</f>
        <v/>
      </c>
      <c r="S146" s="30" t="str">
        <f>IF('Comptage Décadaire'!T147&lt;&gt;"",VLOOKUP('Comptage Décadaire'!T147,'Comptage Décadaire'!T:T,1,FALSE),"")</f>
        <v/>
      </c>
      <c r="T146" s="30" t="str">
        <f>IF('Comptage Décadaire'!U147&lt;&gt;"",VLOOKUP('Comptage Décadaire'!U147,'Comptage Décadaire'!U:U,1,FALSE),"")</f>
        <v/>
      </c>
      <c r="U146" s="30" t="str">
        <f>IF('Comptage Décadaire'!V147&lt;&gt;"",VLOOKUP('Comptage Décadaire'!V147,'Comptage Décadaire'!V:V,1,FALSE),"")</f>
        <v/>
      </c>
      <c r="V146" s="30" t="str">
        <f>IF('Comptage Décadaire'!W147&lt;&gt;"",VLOOKUP('Comptage Décadaire'!W147,'Comptage Décadaire'!W:W,1,FALSE),"")</f>
        <v/>
      </c>
      <c r="W146" s="30" t="str">
        <f>IF('Comptage Décadaire'!X147&lt;&gt;"",VLOOKUP('Comptage Décadaire'!X147,'Comptage Décadaire'!X:X,1,FALSE),"")</f>
        <v/>
      </c>
      <c r="X146" s="30" t="str">
        <f>IF('Comptage Décadaire'!Y147&lt;&gt;"",VLOOKUP('Comptage Décadaire'!Y147,'Comptage Décadaire'!Y:Y,1,FALSE),"")</f>
        <v/>
      </c>
      <c r="Y146" s="30" t="str">
        <f>IF('Comptage Décadaire'!Z147&lt;&gt;"",VLOOKUP('Comptage Décadaire'!Z147,Nomenclature!$F$2:$G$7,2,FALSE),"")</f>
        <v/>
      </c>
      <c r="Z146" s="30" t="str">
        <f>IF('Comptage Décadaire'!AA147&lt;&gt;"",VLOOKUP('Comptage Décadaire'!AA147,Nomenclature!$H$2:$I$31,2,FALSE),"")</f>
        <v/>
      </c>
      <c r="AA146" s="30" t="str">
        <f>IF('Comptage Décadaire'!AB147&lt;&gt;"",VLOOKUP('Comptage Décadaire'!AB147,Nomenclature!$J$2:$K$21,2,FALSE),"")</f>
        <v/>
      </c>
      <c r="AB146" s="30" t="str">
        <f>IF('Comptage Décadaire'!AC147&lt;&gt;"",VLOOKUP('Comptage Décadaire'!AC147,'Comptage Décadaire'!AC:AC,1,FALSE),"")</f>
        <v/>
      </c>
      <c r="AC146" s="32" t="str">
        <f>IF('Comptage Décadaire'!AD147&lt;&gt;"",VLOOKUP('Comptage Décadaire'!AD147,Nomenclature!$L$2:$M$8,2,FALSE),"")</f>
        <v/>
      </c>
      <c r="AD146" s="32" t="str">
        <f>IF('Comptage Décadaire'!AE147&lt;&gt;"",VLOOKUP('Comptage Décadaire'!AE147,Utilisateurs!$D$2:$F$81,3,FALSE),"")</f>
        <v/>
      </c>
      <c r="AE146" s="35" t="str">
        <f>IF('Comptage Décadaire'!AF147&lt;&gt;"",VLOOKUP('Comptage Décadaire'!AF147,'Comptage Décadaire'!AF:AF,1,FALSE),"")</f>
        <v/>
      </c>
      <c r="AF146" s="32" t="str">
        <f>IF('Comptage Décadaire'!AG147&lt;&gt;"",VLOOKUP('Comptage Décadaire'!AG147,'Comptage Décadaire'!AG:AG,1,FALSE),"")</f>
        <v/>
      </c>
    </row>
    <row r="147" spans="1:32" x14ac:dyDescent="0.25">
      <c r="A147" s="25" t="str">
        <f>IF('Comptage Décadaire'!A148&lt;&gt;"",VLOOKUP('Comptage Décadaire'!A148,'Comptage Décadaire'!A:A,1,FALSE),"")</f>
        <v/>
      </c>
      <c r="B147" s="27" t="str">
        <f>IF('Comptage Décadaire'!B148&lt;&gt;"",VLOOKUP('Comptage Décadaire'!B148,'Comptage Décadaire'!B:B,1,FALSE),"")</f>
        <v/>
      </c>
      <c r="C147" s="28" t="str">
        <f>IF('Comptage Décadaire'!C148&lt;&gt;"",VLOOKUP('Comptage Décadaire'!C148,'Comptage Décadaire'!C:C,1,FALSE),"")</f>
        <v/>
      </c>
      <c r="D147" s="29" t="str">
        <f>IF('Comptage Décadaire'!D148&lt;&gt;"",VLOOKUP('Comptage Décadaire'!D148,Sites!$A:$B,2,FALSE),"")</f>
        <v/>
      </c>
      <c r="E147" s="29" t="str">
        <f>IF('Comptage Décadaire'!E148&lt;&gt;"",VLOOKUP('Comptage Décadaire'!E148,'Comptage Décadaire'!E:E,1,FALSE),"")</f>
        <v/>
      </c>
      <c r="F147" s="29" t="str">
        <f>IF('Comptage Décadaire'!F148&lt;&gt;"",VLOOKUP('Comptage Décadaire'!F148,Nomenclature!$B$2:$C$4,2,FALSE),"")</f>
        <v/>
      </c>
      <c r="G147" s="29" t="str">
        <f>IF('Comptage Décadaire'!G148&lt;&gt;"",VLOOKUP('Comptage Décadaire'!G148,'Comptage Décadaire'!G:G,1,FALSE),"")</f>
        <v/>
      </c>
      <c r="H147" s="29" t="str">
        <f>IF('Comptage Décadaire'!H148&lt;&gt;"",VLOOKUP('Comptage Décadaire'!H148,Nomenclature!$D$2:$E$7,2,FALSE),"")</f>
        <v/>
      </c>
      <c r="I147" s="30" t="str">
        <f>IF('Comptage Décadaire'!J148&lt;&gt;"",VLOOKUP('Comptage Décadaire'!J148,'Comptage Décadaire'!J:J,1,FALSE),"")</f>
        <v/>
      </c>
      <c r="J147" s="30" t="str">
        <f>IF('Comptage Décadaire'!K148&lt;&gt;"",VLOOKUP('Comptage Décadaire'!K148,'Comptage Décadaire'!K:K,1,FALSE),"")</f>
        <v/>
      </c>
      <c r="K147" s="30" t="str">
        <f>IF('Comptage Décadaire'!L148&lt;&gt;"",VLOOKUP('Comptage Décadaire'!L148,'Comptage Décadaire'!L:L,1,FALSE),"")</f>
        <v/>
      </c>
      <c r="L147" s="31" t="str">
        <f>IF('Comptage Décadaire'!M148&lt;&gt;"",VLOOKUP('Comptage Décadaire'!M148,'Comptage Décadaire'!M:M,1,FALSE),"")</f>
        <v/>
      </c>
      <c r="M147" s="33" t="str">
        <f>IF('Comptage Décadaire'!N148&lt;&gt;"",VLOOKUP('Comptage Décadaire'!N148,Utilisateurs!$D:$F,3,FALSE),"")</f>
        <v/>
      </c>
      <c r="N147" s="33" t="str">
        <f>IF('Comptage Décadaire'!O148&lt;&gt;"",VLOOKUP('Comptage Décadaire'!O148,Utilisateurs!$D:$F,3,FALSE),"")</f>
        <v/>
      </c>
      <c r="O147" s="33" t="str">
        <f>IF('Comptage Décadaire'!P148&lt;&gt;"",VLOOKUP('Comptage Décadaire'!P148,Utilisateurs!$D:$F,3,FALSE),"")</f>
        <v/>
      </c>
      <c r="P147" s="33" t="str">
        <f>IF('Comptage Décadaire'!Q148&lt;&gt;"",VLOOKUP('Comptage Décadaire'!Q148,Utilisateurs!$D:$F,3,FALSE),"")</f>
        <v/>
      </c>
      <c r="Q147" s="33" t="str">
        <f>IF('Comptage Décadaire'!R148&lt;&gt;"",VLOOKUP('Comptage Décadaire'!R148,Utilisateurs!$D:$F,3,FALSE),"")</f>
        <v/>
      </c>
      <c r="R147" s="30" t="str">
        <f>IF('Comptage Décadaire'!S148&lt;&gt;"",VLOOKUP('Comptage Décadaire'!S148,Nomenclature!$N:$O,2,FALSE),"")</f>
        <v/>
      </c>
      <c r="S147" s="30" t="str">
        <f>IF('Comptage Décadaire'!T148&lt;&gt;"",VLOOKUP('Comptage Décadaire'!T148,'Comptage Décadaire'!T:T,1,FALSE),"")</f>
        <v/>
      </c>
      <c r="T147" s="30" t="str">
        <f>IF('Comptage Décadaire'!U148&lt;&gt;"",VLOOKUP('Comptage Décadaire'!U148,'Comptage Décadaire'!U:U,1,FALSE),"")</f>
        <v/>
      </c>
      <c r="U147" s="30" t="str">
        <f>IF('Comptage Décadaire'!V148&lt;&gt;"",VLOOKUP('Comptage Décadaire'!V148,'Comptage Décadaire'!V:V,1,FALSE),"")</f>
        <v/>
      </c>
      <c r="V147" s="30" t="str">
        <f>IF('Comptage Décadaire'!W148&lt;&gt;"",VLOOKUP('Comptage Décadaire'!W148,'Comptage Décadaire'!W:W,1,FALSE),"")</f>
        <v/>
      </c>
      <c r="W147" s="30" t="str">
        <f>IF('Comptage Décadaire'!X148&lt;&gt;"",VLOOKUP('Comptage Décadaire'!X148,'Comptage Décadaire'!X:X,1,FALSE),"")</f>
        <v/>
      </c>
      <c r="X147" s="30" t="str">
        <f>IF('Comptage Décadaire'!Y148&lt;&gt;"",VLOOKUP('Comptage Décadaire'!Y148,'Comptage Décadaire'!Y:Y,1,FALSE),"")</f>
        <v/>
      </c>
      <c r="Y147" s="30" t="str">
        <f>IF('Comptage Décadaire'!Z148&lt;&gt;"",VLOOKUP('Comptage Décadaire'!Z148,Nomenclature!$F$2:$G$7,2,FALSE),"")</f>
        <v/>
      </c>
      <c r="Z147" s="30" t="str">
        <f>IF('Comptage Décadaire'!AA148&lt;&gt;"",VLOOKUP('Comptage Décadaire'!AA148,Nomenclature!$H$2:$I$31,2,FALSE),"")</f>
        <v/>
      </c>
      <c r="AA147" s="30" t="str">
        <f>IF('Comptage Décadaire'!AB148&lt;&gt;"",VLOOKUP('Comptage Décadaire'!AB148,Nomenclature!$J$2:$K$21,2,FALSE),"")</f>
        <v/>
      </c>
      <c r="AB147" s="30" t="str">
        <f>IF('Comptage Décadaire'!AC148&lt;&gt;"",VLOOKUP('Comptage Décadaire'!AC148,'Comptage Décadaire'!AC:AC,1,FALSE),"")</f>
        <v/>
      </c>
      <c r="AC147" s="32" t="str">
        <f>IF('Comptage Décadaire'!AD148&lt;&gt;"",VLOOKUP('Comptage Décadaire'!AD148,Nomenclature!$L$2:$M$8,2,FALSE),"")</f>
        <v/>
      </c>
      <c r="AD147" s="32" t="str">
        <f>IF('Comptage Décadaire'!AE148&lt;&gt;"",VLOOKUP('Comptage Décadaire'!AE148,Utilisateurs!$D$2:$F$81,3,FALSE),"")</f>
        <v/>
      </c>
      <c r="AE147" s="35" t="str">
        <f>IF('Comptage Décadaire'!AF148&lt;&gt;"",VLOOKUP('Comptage Décadaire'!AF148,'Comptage Décadaire'!AF:AF,1,FALSE),"")</f>
        <v/>
      </c>
      <c r="AF147" s="32" t="str">
        <f>IF('Comptage Décadaire'!AG148&lt;&gt;"",VLOOKUP('Comptage Décadaire'!AG148,'Comptage Décadaire'!AG:AG,1,FALSE),"")</f>
        <v/>
      </c>
    </row>
    <row r="148" spans="1:32" x14ac:dyDescent="0.25">
      <c r="A148" s="25" t="str">
        <f>IF('Comptage Décadaire'!A149&lt;&gt;"",VLOOKUP('Comptage Décadaire'!A149,'Comptage Décadaire'!A:A,1,FALSE),"")</f>
        <v/>
      </c>
      <c r="B148" s="27" t="str">
        <f>IF('Comptage Décadaire'!B149&lt;&gt;"",VLOOKUP('Comptage Décadaire'!B149,'Comptage Décadaire'!B:B,1,FALSE),"")</f>
        <v/>
      </c>
      <c r="C148" s="28" t="str">
        <f>IF('Comptage Décadaire'!C149&lt;&gt;"",VLOOKUP('Comptage Décadaire'!C149,'Comptage Décadaire'!C:C,1,FALSE),"")</f>
        <v/>
      </c>
      <c r="D148" s="29" t="str">
        <f>IF('Comptage Décadaire'!D149&lt;&gt;"",VLOOKUP('Comptage Décadaire'!D149,Sites!$A:$B,2,FALSE),"")</f>
        <v/>
      </c>
      <c r="E148" s="29" t="str">
        <f>IF('Comptage Décadaire'!E149&lt;&gt;"",VLOOKUP('Comptage Décadaire'!E149,'Comptage Décadaire'!E:E,1,FALSE),"")</f>
        <v/>
      </c>
      <c r="F148" s="29" t="str">
        <f>IF('Comptage Décadaire'!F149&lt;&gt;"",VLOOKUP('Comptage Décadaire'!F149,Nomenclature!$B$2:$C$4,2,FALSE),"")</f>
        <v/>
      </c>
      <c r="G148" s="29" t="str">
        <f>IF('Comptage Décadaire'!G149&lt;&gt;"",VLOOKUP('Comptage Décadaire'!G149,'Comptage Décadaire'!G:G,1,FALSE),"")</f>
        <v/>
      </c>
      <c r="H148" s="29" t="str">
        <f>IF('Comptage Décadaire'!H149&lt;&gt;"",VLOOKUP('Comptage Décadaire'!H149,Nomenclature!$D$2:$E$7,2,FALSE),"")</f>
        <v/>
      </c>
      <c r="I148" s="30" t="str">
        <f>IF('Comptage Décadaire'!J149&lt;&gt;"",VLOOKUP('Comptage Décadaire'!J149,'Comptage Décadaire'!J:J,1,FALSE),"")</f>
        <v/>
      </c>
      <c r="J148" s="30" t="str">
        <f>IF('Comptage Décadaire'!K149&lt;&gt;"",VLOOKUP('Comptage Décadaire'!K149,'Comptage Décadaire'!K:K,1,FALSE),"")</f>
        <v/>
      </c>
      <c r="K148" s="30" t="str">
        <f>IF('Comptage Décadaire'!L149&lt;&gt;"",VLOOKUP('Comptage Décadaire'!L149,'Comptage Décadaire'!L:L,1,FALSE),"")</f>
        <v/>
      </c>
      <c r="L148" s="31" t="str">
        <f>IF('Comptage Décadaire'!M149&lt;&gt;"",VLOOKUP('Comptage Décadaire'!M149,'Comptage Décadaire'!M:M,1,FALSE),"")</f>
        <v/>
      </c>
      <c r="M148" s="33" t="str">
        <f>IF('Comptage Décadaire'!N149&lt;&gt;"",VLOOKUP('Comptage Décadaire'!N149,Utilisateurs!$D:$F,3,FALSE),"")</f>
        <v/>
      </c>
      <c r="N148" s="33" t="str">
        <f>IF('Comptage Décadaire'!O149&lt;&gt;"",VLOOKUP('Comptage Décadaire'!O149,Utilisateurs!$D:$F,3,FALSE),"")</f>
        <v/>
      </c>
      <c r="O148" s="33" t="str">
        <f>IF('Comptage Décadaire'!P149&lt;&gt;"",VLOOKUP('Comptage Décadaire'!P149,Utilisateurs!$D:$F,3,FALSE),"")</f>
        <v/>
      </c>
      <c r="P148" s="33" t="str">
        <f>IF('Comptage Décadaire'!Q149&lt;&gt;"",VLOOKUP('Comptage Décadaire'!Q149,Utilisateurs!$D:$F,3,FALSE),"")</f>
        <v/>
      </c>
      <c r="Q148" s="33" t="str">
        <f>IF('Comptage Décadaire'!R149&lt;&gt;"",VLOOKUP('Comptage Décadaire'!R149,Utilisateurs!$D:$F,3,FALSE),"")</f>
        <v/>
      </c>
      <c r="R148" s="30" t="str">
        <f>IF('Comptage Décadaire'!S149&lt;&gt;"",VLOOKUP('Comptage Décadaire'!S149,Nomenclature!$N:$O,2,FALSE),"")</f>
        <v/>
      </c>
      <c r="S148" s="30" t="str">
        <f>IF('Comptage Décadaire'!T149&lt;&gt;"",VLOOKUP('Comptage Décadaire'!T149,'Comptage Décadaire'!T:T,1,FALSE),"")</f>
        <v/>
      </c>
      <c r="T148" s="30" t="str">
        <f>IF('Comptage Décadaire'!U149&lt;&gt;"",VLOOKUP('Comptage Décadaire'!U149,'Comptage Décadaire'!U:U,1,FALSE),"")</f>
        <v/>
      </c>
      <c r="U148" s="30" t="str">
        <f>IF('Comptage Décadaire'!V149&lt;&gt;"",VLOOKUP('Comptage Décadaire'!V149,'Comptage Décadaire'!V:V,1,FALSE),"")</f>
        <v/>
      </c>
      <c r="V148" s="30" t="str">
        <f>IF('Comptage Décadaire'!W149&lt;&gt;"",VLOOKUP('Comptage Décadaire'!W149,'Comptage Décadaire'!W:W,1,FALSE),"")</f>
        <v/>
      </c>
      <c r="W148" s="30" t="str">
        <f>IF('Comptage Décadaire'!X149&lt;&gt;"",VLOOKUP('Comptage Décadaire'!X149,'Comptage Décadaire'!X:X,1,FALSE),"")</f>
        <v/>
      </c>
      <c r="X148" s="30" t="str">
        <f>IF('Comptage Décadaire'!Y149&lt;&gt;"",VLOOKUP('Comptage Décadaire'!Y149,'Comptage Décadaire'!Y:Y,1,FALSE),"")</f>
        <v/>
      </c>
      <c r="Y148" s="30" t="str">
        <f>IF('Comptage Décadaire'!Z149&lt;&gt;"",VLOOKUP('Comptage Décadaire'!Z149,Nomenclature!$F$2:$G$7,2,FALSE),"")</f>
        <v/>
      </c>
      <c r="Z148" s="30" t="str">
        <f>IF('Comptage Décadaire'!AA149&lt;&gt;"",VLOOKUP('Comptage Décadaire'!AA149,Nomenclature!$H$2:$I$31,2,FALSE),"")</f>
        <v/>
      </c>
      <c r="AA148" s="30" t="str">
        <f>IF('Comptage Décadaire'!AB149&lt;&gt;"",VLOOKUP('Comptage Décadaire'!AB149,Nomenclature!$J$2:$K$21,2,FALSE),"")</f>
        <v/>
      </c>
      <c r="AB148" s="30" t="str">
        <f>IF('Comptage Décadaire'!AC149&lt;&gt;"",VLOOKUP('Comptage Décadaire'!AC149,'Comptage Décadaire'!AC:AC,1,FALSE),"")</f>
        <v/>
      </c>
      <c r="AC148" s="32" t="str">
        <f>IF('Comptage Décadaire'!AD149&lt;&gt;"",VLOOKUP('Comptage Décadaire'!AD149,Nomenclature!$L$2:$M$8,2,FALSE),"")</f>
        <v/>
      </c>
      <c r="AD148" s="32" t="str">
        <f>IF('Comptage Décadaire'!AE149&lt;&gt;"",VLOOKUP('Comptage Décadaire'!AE149,Utilisateurs!$D$2:$F$81,3,FALSE),"")</f>
        <v/>
      </c>
      <c r="AE148" s="35" t="str">
        <f>IF('Comptage Décadaire'!AF149&lt;&gt;"",VLOOKUP('Comptage Décadaire'!AF149,'Comptage Décadaire'!AF:AF,1,FALSE),"")</f>
        <v/>
      </c>
      <c r="AF148" s="32" t="str">
        <f>IF('Comptage Décadaire'!AG149&lt;&gt;"",VLOOKUP('Comptage Décadaire'!AG149,'Comptage Décadaire'!AG:AG,1,FALSE),"")</f>
        <v/>
      </c>
    </row>
    <row r="149" spans="1:32" x14ac:dyDescent="0.25">
      <c r="A149" s="25" t="str">
        <f>IF('Comptage Décadaire'!A150&lt;&gt;"",VLOOKUP('Comptage Décadaire'!A150,'Comptage Décadaire'!A:A,1,FALSE),"")</f>
        <v/>
      </c>
      <c r="B149" s="27" t="str">
        <f>IF('Comptage Décadaire'!B150&lt;&gt;"",VLOOKUP('Comptage Décadaire'!B150,'Comptage Décadaire'!B:B,1,FALSE),"")</f>
        <v/>
      </c>
      <c r="C149" s="28" t="str">
        <f>IF('Comptage Décadaire'!C150&lt;&gt;"",VLOOKUP('Comptage Décadaire'!C150,'Comptage Décadaire'!C:C,1,FALSE),"")</f>
        <v/>
      </c>
      <c r="D149" s="29" t="str">
        <f>IF('Comptage Décadaire'!D150&lt;&gt;"",VLOOKUP('Comptage Décadaire'!D150,Sites!$A:$B,2,FALSE),"")</f>
        <v/>
      </c>
      <c r="E149" s="29" t="str">
        <f>IF('Comptage Décadaire'!E150&lt;&gt;"",VLOOKUP('Comptage Décadaire'!E150,'Comptage Décadaire'!E:E,1,FALSE),"")</f>
        <v/>
      </c>
      <c r="F149" s="29" t="str">
        <f>IF('Comptage Décadaire'!F150&lt;&gt;"",VLOOKUP('Comptage Décadaire'!F150,Nomenclature!$B$2:$C$4,2,FALSE),"")</f>
        <v/>
      </c>
      <c r="G149" s="29" t="str">
        <f>IF('Comptage Décadaire'!G150&lt;&gt;"",VLOOKUP('Comptage Décadaire'!G150,'Comptage Décadaire'!G:G,1,FALSE),"")</f>
        <v/>
      </c>
      <c r="H149" s="29" t="str">
        <f>IF('Comptage Décadaire'!H150&lt;&gt;"",VLOOKUP('Comptage Décadaire'!H150,Nomenclature!$D$2:$E$7,2,FALSE),"")</f>
        <v/>
      </c>
      <c r="I149" s="30" t="str">
        <f>IF('Comptage Décadaire'!J150&lt;&gt;"",VLOOKUP('Comptage Décadaire'!J150,'Comptage Décadaire'!J:J,1,FALSE),"")</f>
        <v/>
      </c>
      <c r="J149" s="30" t="str">
        <f>IF('Comptage Décadaire'!K150&lt;&gt;"",VLOOKUP('Comptage Décadaire'!K150,'Comptage Décadaire'!K:K,1,FALSE),"")</f>
        <v/>
      </c>
      <c r="K149" s="30" t="str">
        <f>IF('Comptage Décadaire'!L150&lt;&gt;"",VLOOKUP('Comptage Décadaire'!L150,'Comptage Décadaire'!L:L,1,FALSE),"")</f>
        <v/>
      </c>
      <c r="L149" s="31" t="str">
        <f>IF('Comptage Décadaire'!M150&lt;&gt;"",VLOOKUP('Comptage Décadaire'!M150,'Comptage Décadaire'!M:M,1,FALSE),"")</f>
        <v/>
      </c>
      <c r="M149" s="33" t="str">
        <f>IF('Comptage Décadaire'!N150&lt;&gt;"",VLOOKUP('Comptage Décadaire'!N150,Utilisateurs!$D:$F,3,FALSE),"")</f>
        <v/>
      </c>
      <c r="N149" s="33" t="str">
        <f>IF('Comptage Décadaire'!O150&lt;&gt;"",VLOOKUP('Comptage Décadaire'!O150,Utilisateurs!$D:$F,3,FALSE),"")</f>
        <v/>
      </c>
      <c r="O149" s="33" t="str">
        <f>IF('Comptage Décadaire'!P150&lt;&gt;"",VLOOKUP('Comptage Décadaire'!P150,Utilisateurs!$D:$F,3,FALSE),"")</f>
        <v/>
      </c>
      <c r="P149" s="33" t="str">
        <f>IF('Comptage Décadaire'!Q150&lt;&gt;"",VLOOKUP('Comptage Décadaire'!Q150,Utilisateurs!$D:$F,3,FALSE),"")</f>
        <v/>
      </c>
      <c r="Q149" s="33" t="str">
        <f>IF('Comptage Décadaire'!R150&lt;&gt;"",VLOOKUP('Comptage Décadaire'!R150,Utilisateurs!$D:$F,3,FALSE),"")</f>
        <v/>
      </c>
      <c r="R149" s="30" t="str">
        <f>IF('Comptage Décadaire'!S150&lt;&gt;"",VLOOKUP('Comptage Décadaire'!S150,Nomenclature!$N:$O,2,FALSE),"")</f>
        <v/>
      </c>
      <c r="S149" s="30" t="str">
        <f>IF('Comptage Décadaire'!T150&lt;&gt;"",VLOOKUP('Comptage Décadaire'!T150,'Comptage Décadaire'!T:T,1,FALSE),"")</f>
        <v/>
      </c>
      <c r="T149" s="30" t="str">
        <f>IF('Comptage Décadaire'!U150&lt;&gt;"",VLOOKUP('Comptage Décadaire'!U150,'Comptage Décadaire'!U:U,1,FALSE),"")</f>
        <v/>
      </c>
      <c r="U149" s="30" t="str">
        <f>IF('Comptage Décadaire'!V150&lt;&gt;"",VLOOKUP('Comptage Décadaire'!V150,'Comptage Décadaire'!V:V,1,FALSE),"")</f>
        <v/>
      </c>
      <c r="V149" s="30" t="str">
        <f>IF('Comptage Décadaire'!W150&lt;&gt;"",VLOOKUP('Comptage Décadaire'!W150,'Comptage Décadaire'!W:W,1,FALSE),"")</f>
        <v/>
      </c>
      <c r="W149" s="30" t="str">
        <f>IF('Comptage Décadaire'!X150&lt;&gt;"",VLOOKUP('Comptage Décadaire'!X150,'Comptage Décadaire'!X:X,1,FALSE),"")</f>
        <v/>
      </c>
      <c r="X149" s="30" t="str">
        <f>IF('Comptage Décadaire'!Y150&lt;&gt;"",VLOOKUP('Comptage Décadaire'!Y150,'Comptage Décadaire'!Y:Y,1,FALSE),"")</f>
        <v/>
      </c>
      <c r="Y149" s="30" t="str">
        <f>IF('Comptage Décadaire'!Z150&lt;&gt;"",VLOOKUP('Comptage Décadaire'!Z150,Nomenclature!$F$2:$G$7,2,FALSE),"")</f>
        <v/>
      </c>
      <c r="Z149" s="30" t="str">
        <f>IF('Comptage Décadaire'!AA150&lt;&gt;"",VLOOKUP('Comptage Décadaire'!AA150,Nomenclature!$H$2:$I$31,2,FALSE),"")</f>
        <v/>
      </c>
      <c r="AA149" s="30" t="str">
        <f>IF('Comptage Décadaire'!AB150&lt;&gt;"",VLOOKUP('Comptage Décadaire'!AB150,Nomenclature!$J$2:$K$21,2,FALSE),"")</f>
        <v/>
      </c>
      <c r="AB149" s="30" t="str">
        <f>IF('Comptage Décadaire'!AC150&lt;&gt;"",VLOOKUP('Comptage Décadaire'!AC150,'Comptage Décadaire'!AC:AC,1,FALSE),"")</f>
        <v/>
      </c>
      <c r="AC149" s="32" t="str">
        <f>IF('Comptage Décadaire'!AD150&lt;&gt;"",VLOOKUP('Comptage Décadaire'!AD150,Nomenclature!$L$2:$M$8,2,FALSE),"")</f>
        <v/>
      </c>
      <c r="AD149" s="32" t="str">
        <f>IF('Comptage Décadaire'!AE150&lt;&gt;"",VLOOKUP('Comptage Décadaire'!AE150,Utilisateurs!$D$2:$F$81,3,FALSE),"")</f>
        <v/>
      </c>
      <c r="AE149" s="35" t="str">
        <f>IF('Comptage Décadaire'!AF150&lt;&gt;"",VLOOKUP('Comptage Décadaire'!AF150,'Comptage Décadaire'!AF:AF,1,FALSE),"")</f>
        <v/>
      </c>
      <c r="AF149" s="32" t="str">
        <f>IF('Comptage Décadaire'!AG150&lt;&gt;"",VLOOKUP('Comptage Décadaire'!AG150,'Comptage Décadaire'!AG:AG,1,FALSE),"")</f>
        <v/>
      </c>
    </row>
    <row r="150" spans="1:32" x14ac:dyDescent="0.25">
      <c r="A150" s="25" t="str">
        <f>IF('Comptage Décadaire'!A151&lt;&gt;"",VLOOKUP('Comptage Décadaire'!A151,'Comptage Décadaire'!A:A,1,FALSE),"")</f>
        <v/>
      </c>
      <c r="B150" s="27" t="str">
        <f>IF('Comptage Décadaire'!B151&lt;&gt;"",VLOOKUP('Comptage Décadaire'!B151,'Comptage Décadaire'!B:B,1,FALSE),"")</f>
        <v/>
      </c>
      <c r="C150" s="28" t="str">
        <f>IF('Comptage Décadaire'!C151&lt;&gt;"",VLOOKUP('Comptage Décadaire'!C151,'Comptage Décadaire'!C:C,1,FALSE),"")</f>
        <v/>
      </c>
      <c r="D150" s="29" t="str">
        <f>IF('Comptage Décadaire'!D151&lt;&gt;"",VLOOKUP('Comptage Décadaire'!D151,Sites!$A:$B,2,FALSE),"")</f>
        <v/>
      </c>
      <c r="E150" s="29" t="str">
        <f>IF('Comptage Décadaire'!E151&lt;&gt;"",VLOOKUP('Comptage Décadaire'!E151,'Comptage Décadaire'!E:E,1,FALSE),"")</f>
        <v/>
      </c>
      <c r="F150" s="29" t="str">
        <f>IF('Comptage Décadaire'!F151&lt;&gt;"",VLOOKUP('Comptage Décadaire'!F151,Nomenclature!$B$2:$C$4,2,FALSE),"")</f>
        <v/>
      </c>
      <c r="G150" s="29" t="str">
        <f>IF('Comptage Décadaire'!G151&lt;&gt;"",VLOOKUP('Comptage Décadaire'!G151,'Comptage Décadaire'!G:G,1,FALSE),"")</f>
        <v/>
      </c>
      <c r="H150" s="29" t="str">
        <f>IF('Comptage Décadaire'!H151&lt;&gt;"",VLOOKUP('Comptage Décadaire'!H151,Nomenclature!$D$2:$E$7,2,FALSE),"")</f>
        <v/>
      </c>
      <c r="I150" s="30" t="str">
        <f>IF('Comptage Décadaire'!J151&lt;&gt;"",VLOOKUP('Comptage Décadaire'!J151,'Comptage Décadaire'!J:J,1,FALSE),"")</f>
        <v/>
      </c>
      <c r="J150" s="30" t="str">
        <f>IF('Comptage Décadaire'!K151&lt;&gt;"",VLOOKUP('Comptage Décadaire'!K151,'Comptage Décadaire'!K:K,1,FALSE),"")</f>
        <v/>
      </c>
      <c r="K150" s="30" t="str">
        <f>IF('Comptage Décadaire'!L151&lt;&gt;"",VLOOKUP('Comptage Décadaire'!L151,'Comptage Décadaire'!L:L,1,FALSE),"")</f>
        <v/>
      </c>
      <c r="L150" s="31" t="str">
        <f>IF('Comptage Décadaire'!M151&lt;&gt;"",VLOOKUP('Comptage Décadaire'!M151,'Comptage Décadaire'!M:M,1,FALSE),"")</f>
        <v/>
      </c>
      <c r="M150" s="33" t="str">
        <f>IF('Comptage Décadaire'!N151&lt;&gt;"",VLOOKUP('Comptage Décadaire'!N151,Utilisateurs!$D:$F,3,FALSE),"")</f>
        <v/>
      </c>
      <c r="N150" s="33" t="str">
        <f>IF('Comptage Décadaire'!O151&lt;&gt;"",VLOOKUP('Comptage Décadaire'!O151,Utilisateurs!$D:$F,3,FALSE),"")</f>
        <v/>
      </c>
      <c r="O150" s="33" t="str">
        <f>IF('Comptage Décadaire'!P151&lt;&gt;"",VLOOKUP('Comptage Décadaire'!P151,Utilisateurs!$D:$F,3,FALSE),"")</f>
        <v/>
      </c>
      <c r="P150" s="33" t="str">
        <f>IF('Comptage Décadaire'!Q151&lt;&gt;"",VLOOKUP('Comptage Décadaire'!Q151,Utilisateurs!$D:$F,3,FALSE),"")</f>
        <v/>
      </c>
      <c r="Q150" s="33" t="str">
        <f>IF('Comptage Décadaire'!R151&lt;&gt;"",VLOOKUP('Comptage Décadaire'!R151,Utilisateurs!$D:$F,3,FALSE),"")</f>
        <v/>
      </c>
      <c r="R150" s="30" t="str">
        <f>IF('Comptage Décadaire'!S151&lt;&gt;"",VLOOKUP('Comptage Décadaire'!S151,Nomenclature!$N:$O,2,FALSE),"")</f>
        <v/>
      </c>
      <c r="S150" s="30" t="str">
        <f>IF('Comptage Décadaire'!T151&lt;&gt;"",VLOOKUP('Comptage Décadaire'!T151,'Comptage Décadaire'!T:T,1,FALSE),"")</f>
        <v/>
      </c>
      <c r="T150" s="30" t="str">
        <f>IF('Comptage Décadaire'!U151&lt;&gt;"",VLOOKUP('Comptage Décadaire'!U151,'Comptage Décadaire'!U:U,1,FALSE),"")</f>
        <v/>
      </c>
      <c r="U150" s="30" t="str">
        <f>IF('Comptage Décadaire'!V151&lt;&gt;"",VLOOKUP('Comptage Décadaire'!V151,'Comptage Décadaire'!V:V,1,FALSE),"")</f>
        <v/>
      </c>
      <c r="V150" s="30" t="str">
        <f>IF('Comptage Décadaire'!W151&lt;&gt;"",VLOOKUP('Comptage Décadaire'!W151,'Comptage Décadaire'!W:W,1,FALSE),"")</f>
        <v/>
      </c>
      <c r="W150" s="30" t="str">
        <f>IF('Comptage Décadaire'!X151&lt;&gt;"",VLOOKUP('Comptage Décadaire'!X151,'Comptage Décadaire'!X:X,1,FALSE),"")</f>
        <v/>
      </c>
      <c r="X150" s="30" t="str">
        <f>IF('Comptage Décadaire'!Y151&lt;&gt;"",VLOOKUP('Comptage Décadaire'!Y151,'Comptage Décadaire'!Y:Y,1,FALSE),"")</f>
        <v/>
      </c>
      <c r="Y150" s="30" t="str">
        <f>IF('Comptage Décadaire'!Z151&lt;&gt;"",VLOOKUP('Comptage Décadaire'!Z151,Nomenclature!$F$2:$G$7,2,FALSE),"")</f>
        <v/>
      </c>
      <c r="Z150" s="30" t="str">
        <f>IF('Comptage Décadaire'!AA151&lt;&gt;"",VLOOKUP('Comptage Décadaire'!AA151,Nomenclature!$H$2:$I$31,2,FALSE),"")</f>
        <v/>
      </c>
      <c r="AA150" s="30" t="str">
        <f>IF('Comptage Décadaire'!AB151&lt;&gt;"",VLOOKUP('Comptage Décadaire'!AB151,Nomenclature!$J$2:$K$21,2,FALSE),"")</f>
        <v/>
      </c>
      <c r="AB150" s="30" t="str">
        <f>IF('Comptage Décadaire'!AC151&lt;&gt;"",VLOOKUP('Comptage Décadaire'!AC151,'Comptage Décadaire'!AC:AC,1,FALSE),"")</f>
        <v/>
      </c>
      <c r="AC150" s="32" t="str">
        <f>IF('Comptage Décadaire'!AD151&lt;&gt;"",VLOOKUP('Comptage Décadaire'!AD151,Nomenclature!$L$2:$M$8,2,FALSE),"")</f>
        <v/>
      </c>
      <c r="AD150" s="32" t="str">
        <f>IF('Comptage Décadaire'!AE151&lt;&gt;"",VLOOKUP('Comptage Décadaire'!AE151,Utilisateurs!$D$2:$F$81,3,FALSE),"")</f>
        <v/>
      </c>
      <c r="AE150" s="35" t="str">
        <f>IF('Comptage Décadaire'!AF151&lt;&gt;"",VLOOKUP('Comptage Décadaire'!AF151,'Comptage Décadaire'!AF:AF,1,FALSE),"")</f>
        <v/>
      </c>
      <c r="AF150" s="32" t="str">
        <f>IF('Comptage Décadaire'!AG151&lt;&gt;"",VLOOKUP('Comptage Décadaire'!AG151,'Comptage Décadaire'!AG:AG,1,FALSE),"")</f>
        <v/>
      </c>
    </row>
    <row r="151" spans="1:32" x14ac:dyDescent="0.25">
      <c r="A151" s="25" t="str">
        <f>IF('Comptage Décadaire'!A152&lt;&gt;"",VLOOKUP('Comptage Décadaire'!A152,'Comptage Décadaire'!A:A,1,FALSE),"")</f>
        <v/>
      </c>
      <c r="B151" s="27" t="str">
        <f>IF('Comptage Décadaire'!B152&lt;&gt;"",VLOOKUP('Comptage Décadaire'!B152,'Comptage Décadaire'!B:B,1,FALSE),"")</f>
        <v/>
      </c>
      <c r="C151" s="28" t="str">
        <f>IF('Comptage Décadaire'!C152&lt;&gt;"",VLOOKUP('Comptage Décadaire'!C152,'Comptage Décadaire'!C:C,1,FALSE),"")</f>
        <v/>
      </c>
      <c r="D151" s="29" t="str">
        <f>IF('Comptage Décadaire'!D152&lt;&gt;"",VLOOKUP('Comptage Décadaire'!D152,Sites!$A:$B,2,FALSE),"")</f>
        <v/>
      </c>
      <c r="E151" s="29" t="str">
        <f>IF('Comptage Décadaire'!E152&lt;&gt;"",VLOOKUP('Comptage Décadaire'!E152,'Comptage Décadaire'!E:E,1,FALSE),"")</f>
        <v/>
      </c>
      <c r="F151" s="29" t="str">
        <f>IF('Comptage Décadaire'!F152&lt;&gt;"",VLOOKUP('Comptage Décadaire'!F152,Nomenclature!$B$2:$C$4,2,FALSE),"")</f>
        <v/>
      </c>
      <c r="G151" s="29" t="str">
        <f>IF('Comptage Décadaire'!G152&lt;&gt;"",VLOOKUP('Comptage Décadaire'!G152,'Comptage Décadaire'!G:G,1,FALSE),"")</f>
        <v/>
      </c>
      <c r="H151" s="29" t="str">
        <f>IF('Comptage Décadaire'!H152&lt;&gt;"",VLOOKUP('Comptage Décadaire'!H152,Nomenclature!$D$2:$E$7,2,FALSE),"")</f>
        <v/>
      </c>
      <c r="I151" s="30" t="str">
        <f>IF('Comptage Décadaire'!J152&lt;&gt;"",VLOOKUP('Comptage Décadaire'!J152,'Comptage Décadaire'!J:J,1,FALSE),"")</f>
        <v/>
      </c>
      <c r="J151" s="30" t="str">
        <f>IF('Comptage Décadaire'!K152&lt;&gt;"",VLOOKUP('Comptage Décadaire'!K152,'Comptage Décadaire'!K:K,1,FALSE),"")</f>
        <v/>
      </c>
      <c r="K151" s="30" t="str">
        <f>IF('Comptage Décadaire'!L152&lt;&gt;"",VLOOKUP('Comptage Décadaire'!L152,'Comptage Décadaire'!L:L,1,FALSE),"")</f>
        <v/>
      </c>
      <c r="L151" s="31" t="str">
        <f>IF('Comptage Décadaire'!M152&lt;&gt;"",VLOOKUP('Comptage Décadaire'!M152,'Comptage Décadaire'!M:M,1,FALSE),"")</f>
        <v/>
      </c>
      <c r="M151" s="33" t="str">
        <f>IF('Comptage Décadaire'!N152&lt;&gt;"",VLOOKUP('Comptage Décadaire'!N152,Utilisateurs!$D:$F,3,FALSE),"")</f>
        <v/>
      </c>
      <c r="N151" s="33" t="str">
        <f>IF('Comptage Décadaire'!O152&lt;&gt;"",VLOOKUP('Comptage Décadaire'!O152,Utilisateurs!$D:$F,3,FALSE),"")</f>
        <v/>
      </c>
      <c r="O151" s="33" t="str">
        <f>IF('Comptage Décadaire'!P152&lt;&gt;"",VLOOKUP('Comptage Décadaire'!P152,Utilisateurs!$D:$F,3,FALSE),"")</f>
        <v/>
      </c>
      <c r="P151" s="33" t="str">
        <f>IF('Comptage Décadaire'!Q152&lt;&gt;"",VLOOKUP('Comptage Décadaire'!Q152,Utilisateurs!$D:$F,3,FALSE),"")</f>
        <v/>
      </c>
      <c r="Q151" s="33" t="str">
        <f>IF('Comptage Décadaire'!R152&lt;&gt;"",VLOOKUP('Comptage Décadaire'!R152,Utilisateurs!$D:$F,3,FALSE),"")</f>
        <v/>
      </c>
      <c r="R151" s="30" t="str">
        <f>IF('Comptage Décadaire'!S152&lt;&gt;"",VLOOKUP('Comptage Décadaire'!S152,Nomenclature!$N:$O,2,FALSE),"")</f>
        <v/>
      </c>
      <c r="S151" s="30" t="str">
        <f>IF('Comptage Décadaire'!T152&lt;&gt;"",VLOOKUP('Comptage Décadaire'!T152,'Comptage Décadaire'!T:T,1,FALSE),"")</f>
        <v/>
      </c>
      <c r="T151" s="30" t="str">
        <f>IF('Comptage Décadaire'!U152&lt;&gt;"",VLOOKUP('Comptage Décadaire'!U152,'Comptage Décadaire'!U:U,1,FALSE),"")</f>
        <v/>
      </c>
      <c r="U151" s="30" t="str">
        <f>IF('Comptage Décadaire'!V152&lt;&gt;"",VLOOKUP('Comptage Décadaire'!V152,'Comptage Décadaire'!V:V,1,FALSE),"")</f>
        <v/>
      </c>
      <c r="V151" s="30" t="str">
        <f>IF('Comptage Décadaire'!W152&lt;&gt;"",VLOOKUP('Comptage Décadaire'!W152,'Comptage Décadaire'!W:W,1,FALSE),"")</f>
        <v/>
      </c>
      <c r="W151" s="30" t="str">
        <f>IF('Comptage Décadaire'!X152&lt;&gt;"",VLOOKUP('Comptage Décadaire'!X152,'Comptage Décadaire'!X:X,1,FALSE),"")</f>
        <v/>
      </c>
      <c r="X151" s="30" t="str">
        <f>IF('Comptage Décadaire'!Y152&lt;&gt;"",VLOOKUP('Comptage Décadaire'!Y152,'Comptage Décadaire'!Y:Y,1,FALSE),"")</f>
        <v/>
      </c>
      <c r="Y151" s="30" t="str">
        <f>IF('Comptage Décadaire'!Z152&lt;&gt;"",VLOOKUP('Comptage Décadaire'!Z152,Nomenclature!$F$2:$G$7,2,FALSE),"")</f>
        <v/>
      </c>
      <c r="Z151" s="30" t="str">
        <f>IF('Comptage Décadaire'!AA152&lt;&gt;"",VLOOKUP('Comptage Décadaire'!AA152,Nomenclature!$H$2:$I$31,2,FALSE),"")</f>
        <v/>
      </c>
      <c r="AA151" s="30" t="str">
        <f>IF('Comptage Décadaire'!AB152&lt;&gt;"",VLOOKUP('Comptage Décadaire'!AB152,Nomenclature!$J$2:$K$21,2,FALSE),"")</f>
        <v/>
      </c>
      <c r="AB151" s="30" t="str">
        <f>IF('Comptage Décadaire'!AC152&lt;&gt;"",VLOOKUP('Comptage Décadaire'!AC152,'Comptage Décadaire'!AC:AC,1,FALSE),"")</f>
        <v/>
      </c>
      <c r="AC151" s="32" t="str">
        <f>IF('Comptage Décadaire'!AD152&lt;&gt;"",VLOOKUP('Comptage Décadaire'!AD152,Nomenclature!$L$2:$M$8,2,FALSE),"")</f>
        <v/>
      </c>
      <c r="AD151" s="32" t="str">
        <f>IF('Comptage Décadaire'!AE152&lt;&gt;"",VLOOKUP('Comptage Décadaire'!AE152,Utilisateurs!$D$2:$F$81,3,FALSE),"")</f>
        <v/>
      </c>
      <c r="AE151" s="35" t="str">
        <f>IF('Comptage Décadaire'!AF152&lt;&gt;"",VLOOKUP('Comptage Décadaire'!AF152,'Comptage Décadaire'!AF:AF,1,FALSE),"")</f>
        <v/>
      </c>
      <c r="AF151" s="32" t="str">
        <f>IF('Comptage Décadaire'!AG152&lt;&gt;"",VLOOKUP('Comptage Décadaire'!AG152,'Comptage Décadaire'!AG:AG,1,FALSE),"")</f>
        <v/>
      </c>
    </row>
    <row r="152" spans="1:32" x14ac:dyDescent="0.25">
      <c r="A152" s="25" t="str">
        <f>IF('Comptage Décadaire'!A153&lt;&gt;"",VLOOKUP('Comptage Décadaire'!A153,'Comptage Décadaire'!A:A,1,FALSE),"")</f>
        <v/>
      </c>
      <c r="B152" s="27" t="str">
        <f>IF('Comptage Décadaire'!B153&lt;&gt;"",VLOOKUP('Comptage Décadaire'!B153,'Comptage Décadaire'!B:B,1,FALSE),"")</f>
        <v/>
      </c>
      <c r="C152" s="28" t="str">
        <f>IF('Comptage Décadaire'!C153&lt;&gt;"",VLOOKUP('Comptage Décadaire'!C153,'Comptage Décadaire'!C:C,1,FALSE),"")</f>
        <v/>
      </c>
      <c r="D152" s="29" t="str">
        <f>IF('Comptage Décadaire'!D153&lt;&gt;"",VLOOKUP('Comptage Décadaire'!D153,Sites!$A:$B,2,FALSE),"")</f>
        <v/>
      </c>
      <c r="E152" s="29" t="str">
        <f>IF('Comptage Décadaire'!E153&lt;&gt;"",VLOOKUP('Comptage Décadaire'!E153,'Comptage Décadaire'!E:E,1,FALSE),"")</f>
        <v/>
      </c>
      <c r="F152" s="29" t="str">
        <f>IF('Comptage Décadaire'!F153&lt;&gt;"",VLOOKUP('Comptage Décadaire'!F153,Nomenclature!$B$2:$C$4,2,FALSE),"")</f>
        <v/>
      </c>
      <c r="G152" s="29" t="str">
        <f>IF('Comptage Décadaire'!G153&lt;&gt;"",VLOOKUP('Comptage Décadaire'!G153,'Comptage Décadaire'!G:G,1,FALSE),"")</f>
        <v/>
      </c>
      <c r="H152" s="29" t="str">
        <f>IF('Comptage Décadaire'!H153&lt;&gt;"",VLOOKUP('Comptage Décadaire'!H153,Nomenclature!$D$2:$E$7,2,FALSE),"")</f>
        <v/>
      </c>
      <c r="I152" s="30" t="str">
        <f>IF('Comptage Décadaire'!J153&lt;&gt;"",VLOOKUP('Comptage Décadaire'!J153,'Comptage Décadaire'!J:J,1,FALSE),"")</f>
        <v/>
      </c>
      <c r="J152" s="30" t="str">
        <f>IF('Comptage Décadaire'!K153&lt;&gt;"",VLOOKUP('Comptage Décadaire'!K153,'Comptage Décadaire'!K:K,1,FALSE),"")</f>
        <v/>
      </c>
      <c r="K152" s="30" t="str">
        <f>IF('Comptage Décadaire'!L153&lt;&gt;"",VLOOKUP('Comptage Décadaire'!L153,'Comptage Décadaire'!L:L,1,FALSE),"")</f>
        <v/>
      </c>
      <c r="L152" s="31" t="str">
        <f>IF('Comptage Décadaire'!M153&lt;&gt;"",VLOOKUP('Comptage Décadaire'!M153,'Comptage Décadaire'!M:M,1,FALSE),"")</f>
        <v/>
      </c>
      <c r="M152" s="33" t="str">
        <f>IF('Comptage Décadaire'!N153&lt;&gt;"",VLOOKUP('Comptage Décadaire'!N153,Utilisateurs!$D:$F,3,FALSE),"")</f>
        <v/>
      </c>
      <c r="N152" s="33" t="str">
        <f>IF('Comptage Décadaire'!O153&lt;&gt;"",VLOOKUP('Comptage Décadaire'!O153,Utilisateurs!$D:$F,3,FALSE),"")</f>
        <v/>
      </c>
      <c r="O152" s="33" t="str">
        <f>IF('Comptage Décadaire'!P153&lt;&gt;"",VLOOKUP('Comptage Décadaire'!P153,Utilisateurs!$D:$F,3,FALSE),"")</f>
        <v/>
      </c>
      <c r="P152" s="33" t="str">
        <f>IF('Comptage Décadaire'!Q153&lt;&gt;"",VLOOKUP('Comptage Décadaire'!Q153,Utilisateurs!$D:$F,3,FALSE),"")</f>
        <v/>
      </c>
      <c r="Q152" s="33" t="str">
        <f>IF('Comptage Décadaire'!R153&lt;&gt;"",VLOOKUP('Comptage Décadaire'!R153,Utilisateurs!$D:$F,3,FALSE),"")</f>
        <v/>
      </c>
      <c r="R152" s="30" t="str">
        <f>IF('Comptage Décadaire'!S153&lt;&gt;"",VLOOKUP('Comptage Décadaire'!S153,Nomenclature!$N:$O,2,FALSE),"")</f>
        <v/>
      </c>
      <c r="S152" s="30" t="str">
        <f>IF('Comptage Décadaire'!T153&lt;&gt;"",VLOOKUP('Comptage Décadaire'!T153,'Comptage Décadaire'!T:T,1,FALSE),"")</f>
        <v/>
      </c>
      <c r="T152" s="30" t="str">
        <f>IF('Comptage Décadaire'!U153&lt;&gt;"",VLOOKUP('Comptage Décadaire'!U153,'Comptage Décadaire'!U:U,1,FALSE),"")</f>
        <v/>
      </c>
      <c r="U152" s="30" t="str">
        <f>IF('Comptage Décadaire'!V153&lt;&gt;"",VLOOKUP('Comptage Décadaire'!V153,'Comptage Décadaire'!V:V,1,FALSE),"")</f>
        <v/>
      </c>
      <c r="V152" s="30" t="str">
        <f>IF('Comptage Décadaire'!W153&lt;&gt;"",VLOOKUP('Comptage Décadaire'!W153,'Comptage Décadaire'!W:W,1,FALSE),"")</f>
        <v/>
      </c>
      <c r="W152" s="30" t="str">
        <f>IF('Comptage Décadaire'!X153&lt;&gt;"",VLOOKUP('Comptage Décadaire'!X153,'Comptage Décadaire'!X:X,1,FALSE),"")</f>
        <v/>
      </c>
      <c r="X152" s="30" t="str">
        <f>IF('Comptage Décadaire'!Y153&lt;&gt;"",VLOOKUP('Comptage Décadaire'!Y153,'Comptage Décadaire'!Y:Y,1,FALSE),"")</f>
        <v/>
      </c>
      <c r="Y152" s="30" t="str">
        <f>IF('Comptage Décadaire'!Z153&lt;&gt;"",VLOOKUP('Comptage Décadaire'!Z153,Nomenclature!$F$2:$G$7,2,FALSE),"")</f>
        <v/>
      </c>
      <c r="Z152" s="30" t="str">
        <f>IF('Comptage Décadaire'!AA153&lt;&gt;"",VLOOKUP('Comptage Décadaire'!AA153,Nomenclature!$H$2:$I$31,2,FALSE),"")</f>
        <v/>
      </c>
      <c r="AA152" s="30" t="str">
        <f>IF('Comptage Décadaire'!AB153&lt;&gt;"",VLOOKUP('Comptage Décadaire'!AB153,Nomenclature!$J$2:$K$21,2,FALSE),"")</f>
        <v/>
      </c>
      <c r="AB152" s="30" t="str">
        <f>IF('Comptage Décadaire'!AC153&lt;&gt;"",VLOOKUP('Comptage Décadaire'!AC153,'Comptage Décadaire'!AC:AC,1,FALSE),"")</f>
        <v/>
      </c>
      <c r="AC152" s="32" t="str">
        <f>IF('Comptage Décadaire'!AD153&lt;&gt;"",VLOOKUP('Comptage Décadaire'!AD153,Nomenclature!$L$2:$M$8,2,FALSE),"")</f>
        <v/>
      </c>
      <c r="AD152" s="32" t="str">
        <f>IF('Comptage Décadaire'!AE153&lt;&gt;"",VLOOKUP('Comptage Décadaire'!AE153,Utilisateurs!$D$2:$F$81,3,FALSE),"")</f>
        <v/>
      </c>
      <c r="AE152" s="35" t="str">
        <f>IF('Comptage Décadaire'!AF153&lt;&gt;"",VLOOKUP('Comptage Décadaire'!AF153,'Comptage Décadaire'!AF:AF,1,FALSE),"")</f>
        <v/>
      </c>
      <c r="AF152" s="32" t="str">
        <f>IF('Comptage Décadaire'!AG153&lt;&gt;"",VLOOKUP('Comptage Décadaire'!AG153,'Comptage Décadaire'!AG:AG,1,FALSE),"")</f>
        <v/>
      </c>
    </row>
    <row r="153" spans="1:32" x14ac:dyDescent="0.25">
      <c r="A153" s="25" t="str">
        <f>IF('Comptage Décadaire'!A154&lt;&gt;"",VLOOKUP('Comptage Décadaire'!A154,'Comptage Décadaire'!A:A,1,FALSE),"")</f>
        <v/>
      </c>
      <c r="B153" s="27" t="str">
        <f>IF('Comptage Décadaire'!B154&lt;&gt;"",VLOOKUP('Comptage Décadaire'!B154,'Comptage Décadaire'!B:B,1,FALSE),"")</f>
        <v/>
      </c>
      <c r="C153" s="28" t="str">
        <f>IF('Comptage Décadaire'!C154&lt;&gt;"",VLOOKUP('Comptage Décadaire'!C154,'Comptage Décadaire'!C:C,1,FALSE),"")</f>
        <v/>
      </c>
      <c r="D153" s="29" t="str">
        <f>IF('Comptage Décadaire'!D154&lt;&gt;"",VLOOKUP('Comptage Décadaire'!D154,Sites!$A:$B,2,FALSE),"")</f>
        <v/>
      </c>
      <c r="E153" s="29" t="str">
        <f>IF('Comptage Décadaire'!E154&lt;&gt;"",VLOOKUP('Comptage Décadaire'!E154,'Comptage Décadaire'!E:E,1,FALSE),"")</f>
        <v/>
      </c>
      <c r="F153" s="29" t="str">
        <f>IF('Comptage Décadaire'!F154&lt;&gt;"",VLOOKUP('Comptage Décadaire'!F154,Nomenclature!$B$2:$C$4,2,FALSE),"")</f>
        <v/>
      </c>
      <c r="G153" s="29" t="str">
        <f>IF('Comptage Décadaire'!G154&lt;&gt;"",VLOOKUP('Comptage Décadaire'!G154,'Comptage Décadaire'!G:G,1,FALSE),"")</f>
        <v/>
      </c>
      <c r="H153" s="29" t="str">
        <f>IF('Comptage Décadaire'!H154&lt;&gt;"",VLOOKUP('Comptage Décadaire'!H154,Nomenclature!$D$2:$E$7,2,FALSE),"")</f>
        <v/>
      </c>
      <c r="I153" s="30" t="str">
        <f>IF('Comptage Décadaire'!J154&lt;&gt;"",VLOOKUP('Comptage Décadaire'!J154,'Comptage Décadaire'!J:J,1,FALSE),"")</f>
        <v/>
      </c>
      <c r="J153" s="30" t="str">
        <f>IF('Comptage Décadaire'!K154&lt;&gt;"",VLOOKUP('Comptage Décadaire'!K154,'Comptage Décadaire'!K:K,1,FALSE),"")</f>
        <v/>
      </c>
      <c r="K153" s="30" t="str">
        <f>IF('Comptage Décadaire'!L154&lt;&gt;"",VLOOKUP('Comptage Décadaire'!L154,'Comptage Décadaire'!L:L,1,FALSE),"")</f>
        <v/>
      </c>
      <c r="L153" s="31" t="str">
        <f>IF('Comptage Décadaire'!M154&lt;&gt;"",VLOOKUP('Comptage Décadaire'!M154,'Comptage Décadaire'!M:M,1,FALSE),"")</f>
        <v/>
      </c>
      <c r="M153" s="33" t="str">
        <f>IF('Comptage Décadaire'!N154&lt;&gt;"",VLOOKUP('Comptage Décadaire'!N154,Utilisateurs!$D:$F,3,FALSE),"")</f>
        <v/>
      </c>
      <c r="N153" s="33" t="str">
        <f>IF('Comptage Décadaire'!O154&lt;&gt;"",VLOOKUP('Comptage Décadaire'!O154,Utilisateurs!$D:$F,3,FALSE),"")</f>
        <v/>
      </c>
      <c r="O153" s="33" t="str">
        <f>IF('Comptage Décadaire'!P154&lt;&gt;"",VLOOKUP('Comptage Décadaire'!P154,Utilisateurs!$D:$F,3,FALSE),"")</f>
        <v/>
      </c>
      <c r="P153" s="33" t="str">
        <f>IF('Comptage Décadaire'!Q154&lt;&gt;"",VLOOKUP('Comptage Décadaire'!Q154,Utilisateurs!$D:$F,3,FALSE),"")</f>
        <v/>
      </c>
      <c r="Q153" s="33" t="str">
        <f>IF('Comptage Décadaire'!R154&lt;&gt;"",VLOOKUP('Comptage Décadaire'!R154,Utilisateurs!$D:$F,3,FALSE),"")</f>
        <v/>
      </c>
      <c r="R153" s="30" t="str">
        <f>IF('Comptage Décadaire'!S154&lt;&gt;"",VLOOKUP('Comptage Décadaire'!S154,Nomenclature!$N:$O,2,FALSE),"")</f>
        <v/>
      </c>
      <c r="S153" s="30" t="str">
        <f>IF('Comptage Décadaire'!T154&lt;&gt;"",VLOOKUP('Comptage Décadaire'!T154,'Comptage Décadaire'!T:T,1,FALSE),"")</f>
        <v/>
      </c>
      <c r="T153" s="30" t="str">
        <f>IF('Comptage Décadaire'!U154&lt;&gt;"",VLOOKUP('Comptage Décadaire'!U154,'Comptage Décadaire'!U:U,1,FALSE),"")</f>
        <v/>
      </c>
      <c r="U153" s="30" t="str">
        <f>IF('Comptage Décadaire'!V154&lt;&gt;"",VLOOKUP('Comptage Décadaire'!V154,'Comptage Décadaire'!V:V,1,FALSE),"")</f>
        <v/>
      </c>
      <c r="V153" s="30" t="str">
        <f>IF('Comptage Décadaire'!W154&lt;&gt;"",VLOOKUP('Comptage Décadaire'!W154,'Comptage Décadaire'!W:W,1,FALSE),"")</f>
        <v/>
      </c>
      <c r="W153" s="30" t="str">
        <f>IF('Comptage Décadaire'!X154&lt;&gt;"",VLOOKUP('Comptage Décadaire'!X154,'Comptage Décadaire'!X:X,1,FALSE),"")</f>
        <v/>
      </c>
      <c r="X153" s="30" t="str">
        <f>IF('Comptage Décadaire'!Y154&lt;&gt;"",VLOOKUP('Comptage Décadaire'!Y154,'Comptage Décadaire'!Y:Y,1,FALSE),"")</f>
        <v/>
      </c>
      <c r="Y153" s="30" t="str">
        <f>IF('Comptage Décadaire'!Z154&lt;&gt;"",VLOOKUP('Comptage Décadaire'!Z154,Nomenclature!$F$2:$G$7,2,FALSE),"")</f>
        <v/>
      </c>
      <c r="Z153" s="30" t="str">
        <f>IF('Comptage Décadaire'!AA154&lt;&gt;"",VLOOKUP('Comptage Décadaire'!AA154,Nomenclature!$H$2:$I$31,2,FALSE),"")</f>
        <v/>
      </c>
      <c r="AA153" s="30" t="str">
        <f>IF('Comptage Décadaire'!AB154&lt;&gt;"",VLOOKUP('Comptage Décadaire'!AB154,Nomenclature!$J$2:$K$21,2,FALSE),"")</f>
        <v/>
      </c>
      <c r="AB153" s="30" t="str">
        <f>IF('Comptage Décadaire'!AC154&lt;&gt;"",VLOOKUP('Comptage Décadaire'!AC154,'Comptage Décadaire'!AC:AC,1,FALSE),"")</f>
        <v/>
      </c>
      <c r="AC153" s="32" t="str">
        <f>IF('Comptage Décadaire'!AD154&lt;&gt;"",VLOOKUP('Comptage Décadaire'!AD154,Nomenclature!$L$2:$M$8,2,FALSE),"")</f>
        <v/>
      </c>
      <c r="AD153" s="32" t="str">
        <f>IF('Comptage Décadaire'!AE154&lt;&gt;"",VLOOKUP('Comptage Décadaire'!AE154,Utilisateurs!$D$2:$F$81,3,FALSE),"")</f>
        <v/>
      </c>
      <c r="AE153" s="35" t="str">
        <f>IF('Comptage Décadaire'!AF154&lt;&gt;"",VLOOKUP('Comptage Décadaire'!AF154,'Comptage Décadaire'!AF:AF,1,FALSE),"")</f>
        <v/>
      </c>
      <c r="AF153" s="32" t="str">
        <f>IF('Comptage Décadaire'!AG154&lt;&gt;"",VLOOKUP('Comptage Décadaire'!AG154,'Comptage Décadaire'!AG:AG,1,FALSE),"")</f>
        <v/>
      </c>
    </row>
    <row r="154" spans="1:32" x14ac:dyDescent="0.25">
      <c r="A154" s="25" t="str">
        <f>IF('Comptage Décadaire'!A155&lt;&gt;"",VLOOKUP('Comptage Décadaire'!A155,'Comptage Décadaire'!A:A,1,FALSE),"")</f>
        <v/>
      </c>
      <c r="B154" s="27" t="str">
        <f>IF('Comptage Décadaire'!B155&lt;&gt;"",VLOOKUP('Comptage Décadaire'!B155,'Comptage Décadaire'!B:B,1,FALSE),"")</f>
        <v/>
      </c>
      <c r="C154" s="28" t="str">
        <f>IF('Comptage Décadaire'!C155&lt;&gt;"",VLOOKUP('Comptage Décadaire'!C155,'Comptage Décadaire'!C:C,1,FALSE),"")</f>
        <v/>
      </c>
      <c r="D154" s="29" t="str">
        <f>IF('Comptage Décadaire'!D155&lt;&gt;"",VLOOKUP('Comptage Décadaire'!D155,Sites!$A:$B,2,FALSE),"")</f>
        <v/>
      </c>
      <c r="E154" s="29" t="str">
        <f>IF('Comptage Décadaire'!E155&lt;&gt;"",VLOOKUP('Comptage Décadaire'!E155,'Comptage Décadaire'!E:E,1,FALSE),"")</f>
        <v/>
      </c>
      <c r="F154" s="29" t="str">
        <f>IF('Comptage Décadaire'!F155&lt;&gt;"",VLOOKUP('Comptage Décadaire'!F155,Nomenclature!$B$2:$C$4,2,FALSE),"")</f>
        <v/>
      </c>
      <c r="G154" s="29" t="str">
        <f>IF('Comptage Décadaire'!G155&lt;&gt;"",VLOOKUP('Comptage Décadaire'!G155,'Comptage Décadaire'!G:G,1,FALSE),"")</f>
        <v/>
      </c>
      <c r="H154" s="29" t="str">
        <f>IF('Comptage Décadaire'!H155&lt;&gt;"",VLOOKUP('Comptage Décadaire'!H155,Nomenclature!$D$2:$E$7,2,FALSE),"")</f>
        <v/>
      </c>
      <c r="I154" s="30" t="str">
        <f>IF('Comptage Décadaire'!J155&lt;&gt;"",VLOOKUP('Comptage Décadaire'!J155,'Comptage Décadaire'!J:J,1,FALSE),"")</f>
        <v/>
      </c>
      <c r="J154" s="30" t="str">
        <f>IF('Comptage Décadaire'!K155&lt;&gt;"",VLOOKUP('Comptage Décadaire'!K155,'Comptage Décadaire'!K:K,1,FALSE),"")</f>
        <v/>
      </c>
      <c r="K154" s="30" t="str">
        <f>IF('Comptage Décadaire'!L155&lt;&gt;"",VLOOKUP('Comptage Décadaire'!L155,'Comptage Décadaire'!L:L,1,FALSE),"")</f>
        <v/>
      </c>
      <c r="L154" s="31" t="str">
        <f>IF('Comptage Décadaire'!M155&lt;&gt;"",VLOOKUP('Comptage Décadaire'!M155,'Comptage Décadaire'!M:M,1,FALSE),"")</f>
        <v/>
      </c>
      <c r="M154" s="33" t="str">
        <f>IF('Comptage Décadaire'!N155&lt;&gt;"",VLOOKUP('Comptage Décadaire'!N155,Utilisateurs!$D:$F,3,FALSE),"")</f>
        <v/>
      </c>
      <c r="N154" s="33" t="str">
        <f>IF('Comptage Décadaire'!O155&lt;&gt;"",VLOOKUP('Comptage Décadaire'!O155,Utilisateurs!$D:$F,3,FALSE),"")</f>
        <v/>
      </c>
      <c r="O154" s="33" t="str">
        <f>IF('Comptage Décadaire'!P155&lt;&gt;"",VLOOKUP('Comptage Décadaire'!P155,Utilisateurs!$D:$F,3,FALSE),"")</f>
        <v/>
      </c>
      <c r="P154" s="33" t="str">
        <f>IF('Comptage Décadaire'!Q155&lt;&gt;"",VLOOKUP('Comptage Décadaire'!Q155,Utilisateurs!$D:$F,3,FALSE),"")</f>
        <v/>
      </c>
      <c r="Q154" s="33" t="str">
        <f>IF('Comptage Décadaire'!R155&lt;&gt;"",VLOOKUP('Comptage Décadaire'!R155,Utilisateurs!$D:$F,3,FALSE),"")</f>
        <v/>
      </c>
      <c r="R154" s="30" t="str">
        <f>IF('Comptage Décadaire'!S155&lt;&gt;"",VLOOKUP('Comptage Décadaire'!S155,Nomenclature!$N:$O,2,FALSE),"")</f>
        <v/>
      </c>
      <c r="S154" s="30" t="str">
        <f>IF('Comptage Décadaire'!T155&lt;&gt;"",VLOOKUP('Comptage Décadaire'!T155,'Comptage Décadaire'!T:T,1,FALSE),"")</f>
        <v/>
      </c>
      <c r="T154" s="30" t="str">
        <f>IF('Comptage Décadaire'!U155&lt;&gt;"",VLOOKUP('Comptage Décadaire'!U155,'Comptage Décadaire'!U:U,1,FALSE),"")</f>
        <v/>
      </c>
      <c r="U154" s="30" t="str">
        <f>IF('Comptage Décadaire'!V155&lt;&gt;"",VLOOKUP('Comptage Décadaire'!V155,'Comptage Décadaire'!V:V,1,FALSE),"")</f>
        <v/>
      </c>
      <c r="V154" s="30" t="str">
        <f>IF('Comptage Décadaire'!W155&lt;&gt;"",VLOOKUP('Comptage Décadaire'!W155,'Comptage Décadaire'!W:W,1,FALSE),"")</f>
        <v/>
      </c>
      <c r="W154" s="30" t="str">
        <f>IF('Comptage Décadaire'!X155&lt;&gt;"",VLOOKUP('Comptage Décadaire'!X155,'Comptage Décadaire'!X:X,1,FALSE),"")</f>
        <v/>
      </c>
      <c r="X154" s="30" t="str">
        <f>IF('Comptage Décadaire'!Y155&lt;&gt;"",VLOOKUP('Comptage Décadaire'!Y155,'Comptage Décadaire'!Y:Y,1,FALSE),"")</f>
        <v/>
      </c>
      <c r="Y154" s="30" t="str">
        <f>IF('Comptage Décadaire'!Z155&lt;&gt;"",VLOOKUP('Comptage Décadaire'!Z155,Nomenclature!$F$2:$G$7,2,FALSE),"")</f>
        <v/>
      </c>
      <c r="Z154" s="30" t="str">
        <f>IF('Comptage Décadaire'!AA155&lt;&gt;"",VLOOKUP('Comptage Décadaire'!AA155,Nomenclature!$H$2:$I$31,2,FALSE),"")</f>
        <v/>
      </c>
      <c r="AA154" s="30" t="str">
        <f>IF('Comptage Décadaire'!AB155&lt;&gt;"",VLOOKUP('Comptage Décadaire'!AB155,Nomenclature!$J$2:$K$21,2,FALSE),"")</f>
        <v/>
      </c>
      <c r="AB154" s="30" t="str">
        <f>IF('Comptage Décadaire'!AC155&lt;&gt;"",VLOOKUP('Comptage Décadaire'!AC155,'Comptage Décadaire'!AC:AC,1,FALSE),"")</f>
        <v/>
      </c>
      <c r="AC154" s="32" t="str">
        <f>IF('Comptage Décadaire'!AD155&lt;&gt;"",VLOOKUP('Comptage Décadaire'!AD155,Nomenclature!$L$2:$M$8,2,FALSE),"")</f>
        <v/>
      </c>
      <c r="AD154" s="32" t="str">
        <f>IF('Comptage Décadaire'!AE155&lt;&gt;"",VLOOKUP('Comptage Décadaire'!AE155,Utilisateurs!$D$2:$F$81,3,FALSE),"")</f>
        <v/>
      </c>
      <c r="AE154" s="35" t="str">
        <f>IF('Comptage Décadaire'!AF155&lt;&gt;"",VLOOKUP('Comptage Décadaire'!AF155,'Comptage Décadaire'!AF:AF,1,FALSE),"")</f>
        <v/>
      </c>
      <c r="AF154" s="32" t="str">
        <f>IF('Comptage Décadaire'!AG155&lt;&gt;"",VLOOKUP('Comptage Décadaire'!AG155,'Comptage Décadaire'!AG:AG,1,FALSE),"")</f>
        <v/>
      </c>
    </row>
    <row r="155" spans="1:32" x14ac:dyDescent="0.25">
      <c r="A155" s="25" t="str">
        <f>IF('Comptage Décadaire'!A156&lt;&gt;"",VLOOKUP('Comptage Décadaire'!A156,'Comptage Décadaire'!A:A,1,FALSE),"")</f>
        <v/>
      </c>
      <c r="B155" s="27" t="str">
        <f>IF('Comptage Décadaire'!B156&lt;&gt;"",VLOOKUP('Comptage Décadaire'!B156,'Comptage Décadaire'!B:B,1,FALSE),"")</f>
        <v/>
      </c>
      <c r="C155" s="28" t="str">
        <f>IF('Comptage Décadaire'!C156&lt;&gt;"",VLOOKUP('Comptage Décadaire'!C156,'Comptage Décadaire'!C:C,1,FALSE),"")</f>
        <v/>
      </c>
      <c r="D155" s="29" t="str">
        <f>IF('Comptage Décadaire'!D156&lt;&gt;"",VLOOKUP('Comptage Décadaire'!D156,Sites!$A:$B,2,FALSE),"")</f>
        <v/>
      </c>
      <c r="E155" s="29" t="str">
        <f>IF('Comptage Décadaire'!E156&lt;&gt;"",VLOOKUP('Comptage Décadaire'!E156,'Comptage Décadaire'!E:E,1,FALSE),"")</f>
        <v/>
      </c>
      <c r="F155" s="29" t="str">
        <f>IF('Comptage Décadaire'!F156&lt;&gt;"",VLOOKUP('Comptage Décadaire'!F156,Nomenclature!$B$2:$C$4,2,FALSE),"")</f>
        <v/>
      </c>
      <c r="G155" s="29" t="str">
        <f>IF('Comptage Décadaire'!G156&lt;&gt;"",VLOOKUP('Comptage Décadaire'!G156,'Comptage Décadaire'!G:G,1,FALSE),"")</f>
        <v/>
      </c>
      <c r="H155" s="29" t="str">
        <f>IF('Comptage Décadaire'!H156&lt;&gt;"",VLOOKUP('Comptage Décadaire'!H156,Nomenclature!$D$2:$E$7,2,FALSE),"")</f>
        <v/>
      </c>
      <c r="I155" s="30" t="str">
        <f>IF('Comptage Décadaire'!J156&lt;&gt;"",VLOOKUP('Comptage Décadaire'!J156,'Comptage Décadaire'!J:J,1,FALSE),"")</f>
        <v/>
      </c>
      <c r="J155" s="30" t="str">
        <f>IF('Comptage Décadaire'!K156&lt;&gt;"",VLOOKUP('Comptage Décadaire'!K156,'Comptage Décadaire'!K:K,1,FALSE),"")</f>
        <v/>
      </c>
      <c r="K155" s="30" t="str">
        <f>IF('Comptage Décadaire'!L156&lt;&gt;"",VLOOKUP('Comptage Décadaire'!L156,'Comptage Décadaire'!L:L,1,FALSE),"")</f>
        <v/>
      </c>
      <c r="L155" s="31" t="str">
        <f>IF('Comptage Décadaire'!M156&lt;&gt;"",VLOOKUP('Comptage Décadaire'!M156,'Comptage Décadaire'!M:M,1,FALSE),"")</f>
        <v/>
      </c>
      <c r="M155" s="33" t="str">
        <f>IF('Comptage Décadaire'!N156&lt;&gt;"",VLOOKUP('Comptage Décadaire'!N156,Utilisateurs!$D:$F,3,FALSE),"")</f>
        <v/>
      </c>
      <c r="N155" s="33" t="str">
        <f>IF('Comptage Décadaire'!O156&lt;&gt;"",VLOOKUP('Comptage Décadaire'!O156,Utilisateurs!$D:$F,3,FALSE),"")</f>
        <v/>
      </c>
      <c r="O155" s="33" t="str">
        <f>IF('Comptage Décadaire'!P156&lt;&gt;"",VLOOKUP('Comptage Décadaire'!P156,Utilisateurs!$D:$F,3,FALSE),"")</f>
        <v/>
      </c>
      <c r="P155" s="33" t="str">
        <f>IF('Comptage Décadaire'!Q156&lt;&gt;"",VLOOKUP('Comptage Décadaire'!Q156,Utilisateurs!$D:$F,3,FALSE),"")</f>
        <v/>
      </c>
      <c r="Q155" s="33" t="str">
        <f>IF('Comptage Décadaire'!R156&lt;&gt;"",VLOOKUP('Comptage Décadaire'!R156,Utilisateurs!$D:$F,3,FALSE),"")</f>
        <v/>
      </c>
      <c r="R155" s="30" t="str">
        <f>IF('Comptage Décadaire'!S156&lt;&gt;"",VLOOKUP('Comptage Décadaire'!S156,Nomenclature!$N:$O,2,FALSE),"")</f>
        <v/>
      </c>
      <c r="S155" s="30" t="str">
        <f>IF('Comptage Décadaire'!T156&lt;&gt;"",VLOOKUP('Comptage Décadaire'!T156,'Comptage Décadaire'!T:T,1,FALSE),"")</f>
        <v/>
      </c>
      <c r="T155" s="30" t="str">
        <f>IF('Comptage Décadaire'!U156&lt;&gt;"",VLOOKUP('Comptage Décadaire'!U156,'Comptage Décadaire'!U:U,1,FALSE),"")</f>
        <v/>
      </c>
      <c r="U155" s="30" t="str">
        <f>IF('Comptage Décadaire'!V156&lt;&gt;"",VLOOKUP('Comptage Décadaire'!V156,'Comptage Décadaire'!V:V,1,FALSE),"")</f>
        <v/>
      </c>
      <c r="V155" s="30" t="str">
        <f>IF('Comptage Décadaire'!W156&lt;&gt;"",VLOOKUP('Comptage Décadaire'!W156,'Comptage Décadaire'!W:W,1,FALSE),"")</f>
        <v/>
      </c>
      <c r="W155" s="30" t="str">
        <f>IF('Comptage Décadaire'!X156&lt;&gt;"",VLOOKUP('Comptage Décadaire'!X156,'Comptage Décadaire'!X:X,1,FALSE),"")</f>
        <v/>
      </c>
      <c r="X155" s="30" t="str">
        <f>IF('Comptage Décadaire'!Y156&lt;&gt;"",VLOOKUP('Comptage Décadaire'!Y156,'Comptage Décadaire'!Y:Y,1,FALSE),"")</f>
        <v/>
      </c>
      <c r="Y155" s="30" t="str">
        <f>IF('Comptage Décadaire'!Z156&lt;&gt;"",VLOOKUP('Comptage Décadaire'!Z156,Nomenclature!$F$2:$G$7,2,FALSE),"")</f>
        <v/>
      </c>
      <c r="Z155" s="30" t="str">
        <f>IF('Comptage Décadaire'!AA156&lt;&gt;"",VLOOKUP('Comptage Décadaire'!AA156,Nomenclature!$H$2:$I$31,2,FALSE),"")</f>
        <v/>
      </c>
      <c r="AA155" s="30" t="str">
        <f>IF('Comptage Décadaire'!AB156&lt;&gt;"",VLOOKUP('Comptage Décadaire'!AB156,Nomenclature!$J$2:$K$21,2,FALSE),"")</f>
        <v/>
      </c>
      <c r="AB155" s="30" t="str">
        <f>IF('Comptage Décadaire'!AC156&lt;&gt;"",VLOOKUP('Comptage Décadaire'!AC156,'Comptage Décadaire'!AC:AC,1,FALSE),"")</f>
        <v/>
      </c>
      <c r="AC155" s="32" t="str">
        <f>IF('Comptage Décadaire'!AD156&lt;&gt;"",VLOOKUP('Comptage Décadaire'!AD156,Nomenclature!$L$2:$M$8,2,FALSE),"")</f>
        <v/>
      </c>
      <c r="AD155" s="32" t="str">
        <f>IF('Comptage Décadaire'!AE156&lt;&gt;"",VLOOKUP('Comptage Décadaire'!AE156,Utilisateurs!$D$2:$F$81,3,FALSE),"")</f>
        <v/>
      </c>
      <c r="AE155" s="35" t="str">
        <f>IF('Comptage Décadaire'!AF156&lt;&gt;"",VLOOKUP('Comptage Décadaire'!AF156,'Comptage Décadaire'!AF:AF,1,FALSE),"")</f>
        <v/>
      </c>
      <c r="AF155" s="32" t="str">
        <f>IF('Comptage Décadaire'!AG156&lt;&gt;"",VLOOKUP('Comptage Décadaire'!AG156,'Comptage Décadaire'!AG:AG,1,FALSE),"")</f>
        <v/>
      </c>
    </row>
    <row r="156" spans="1:32" x14ac:dyDescent="0.25">
      <c r="A156" s="25" t="str">
        <f>IF('Comptage Décadaire'!A157&lt;&gt;"",VLOOKUP('Comptage Décadaire'!A157,'Comptage Décadaire'!A:A,1,FALSE),"")</f>
        <v/>
      </c>
      <c r="B156" s="27" t="str">
        <f>IF('Comptage Décadaire'!B157&lt;&gt;"",VLOOKUP('Comptage Décadaire'!B157,'Comptage Décadaire'!B:B,1,FALSE),"")</f>
        <v/>
      </c>
      <c r="C156" s="28" t="str">
        <f>IF('Comptage Décadaire'!C157&lt;&gt;"",VLOOKUP('Comptage Décadaire'!C157,'Comptage Décadaire'!C:C,1,FALSE),"")</f>
        <v/>
      </c>
      <c r="D156" s="29" t="str">
        <f>IF('Comptage Décadaire'!D157&lt;&gt;"",VLOOKUP('Comptage Décadaire'!D157,Sites!$A:$B,2,FALSE),"")</f>
        <v/>
      </c>
      <c r="E156" s="29" t="str">
        <f>IF('Comptage Décadaire'!E157&lt;&gt;"",VLOOKUP('Comptage Décadaire'!E157,'Comptage Décadaire'!E:E,1,FALSE),"")</f>
        <v/>
      </c>
      <c r="F156" s="29" t="str">
        <f>IF('Comptage Décadaire'!F157&lt;&gt;"",VLOOKUP('Comptage Décadaire'!F157,Nomenclature!$B$2:$C$4,2,FALSE),"")</f>
        <v/>
      </c>
      <c r="G156" s="29" t="str">
        <f>IF('Comptage Décadaire'!G157&lt;&gt;"",VLOOKUP('Comptage Décadaire'!G157,'Comptage Décadaire'!G:G,1,FALSE),"")</f>
        <v/>
      </c>
      <c r="H156" s="29" t="str">
        <f>IF('Comptage Décadaire'!H157&lt;&gt;"",VLOOKUP('Comptage Décadaire'!H157,Nomenclature!$D$2:$E$7,2,FALSE),"")</f>
        <v/>
      </c>
      <c r="I156" s="30" t="str">
        <f>IF('Comptage Décadaire'!J157&lt;&gt;"",VLOOKUP('Comptage Décadaire'!J157,'Comptage Décadaire'!J:J,1,FALSE),"")</f>
        <v/>
      </c>
      <c r="J156" s="30" t="str">
        <f>IF('Comptage Décadaire'!K157&lt;&gt;"",VLOOKUP('Comptage Décadaire'!K157,'Comptage Décadaire'!K:K,1,FALSE),"")</f>
        <v/>
      </c>
      <c r="K156" s="30" t="str">
        <f>IF('Comptage Décadaire'!L157&lt;&gt;"",VLOOKUP('Comptage Décadaire'!L157,'Comptage Décadaire'!L:L,1,FALSE),"")</f>
        <v/>
      </c>
      <c r="L156" s="31" t="str">
        <f>IF('Comptage Décadaire'!M157&lt;&gt;"",VLOOKUP('Comptage Décadaire'!M157,'Comptage Décadaire'!M:M,1,FALSE),"")</f>
        <v/>
      </c>
      <c r="M156" s="33" t="str">
        <f>IF('Comptage Décadaire'!N157&lt;&gt;"",VLOOKUP('Comptage Décadaire'!N157,Utilisateurs!$D:$F,3,FALSE),"")</f>
        <v/>
      </c>
      <c r="N156" s="33" t="str">
        <f>IF('Comptage Décadaire'!O157&lt;&gt;"",VLOOKUP('Comptage Décadaire'!O157,Utilisateurs!$D:$F,3,FALSE),"")</f>
        <v/>
      </c>
      <c r="O156" s="33" t="str">
        <f>IF('Comptage Décadaire'!P157&lt;&gt;"",VLOOKUP('Comptage Décadaire'!P157,Utilisateurs!$D:$F,3,FALSE),"")</f>
        <v/>
      </c>
      <c r="P156" s="33" t="str">
        <f>IF('Comptage Décadaire'!Q157&lt;&gt;"",VLOOKUP('Comptage Décadaire'!Q157,Utilisateurs!$D:$F,3,FALSE),"")</f>
        <v/>
      </c>
      <c r="Q156" s="33" t="str">
        <f>IF('Comptage Décadaire'!R157&lt;&gt;"",VLOOKUP('Comptage Décadaire'!R157,Utilisateurs!$D:$F,3,FALSE),"")</f>
        <v/>
      </c>
      <c r="R156" s="30" t="str">
        <f>IF('Comptage Décadaire'!S157&lt;&gt;"",VLOOKUP('Comptage Décadaire'!S157,Nomenclature!$N:$O,2,FALSE),"")</f>
        <v/>
      </c>
      <c r="S156" s="30" t="str">
        <f>IF('Comptage Décadaire'!T157&lt;&gt;"",VLOOKUP('Comptage Décadaire'!T157,'Comptage Décadaire'!T:T,1,FALSE),"")</f>
        <v/>
      </c>
      <c r="T156" s="30" t="str">
        <f>IF('Comptage Décadaire'!U157&lt;&gt;"",VLOOKUP('Comptage Décadaire'!U157,'Comptage Décadaire'!U:U,1,FALSE),"")</f>
        <v/>
      </c>
      <c r="U156" s="30" t="str">
        <f>IF('Comptage Décadaire'!V157&lt;&gt;"",VLOOKUP('Comptage Décadaire'!V157,'Comptage Décadaire'!V:V,1,FALSE),"")</f>
        <v/>
      </c>
      <c r="V156" s="30" t="str">
        <f>IF('Comptage Décadaire'!W157&lt;&gt;"",VLOOKUP('Comptage Décadaire'!W157,'Comptage Décadaire'!W:W,1,FALSE),"")</f>
        <v/>
      </c>
      <c r="W156" s="30" t="str">
        <f>IF('Comptage Décadaire'!X157&lt;&gt;"",VLOOKUP('Comptage Décadaire'!X157,'Comptage Décadaire'!X:X,1,FALSE),"")</f>
        <v/>
      </c>
      <c r="X156" s="30" t="str">
        <f>IF('Comptage Décadaire'!Y157&lt;&gt;"",VLOOKUP('Comptage Décadaire'!Y157,'Comptage Décadaire'!Y:Y,1,FALSE),"")</f>
        <v/>
      </c>
      <c r="Y156" s="30" t="str">
        <f>IF('Comptage Décadaire'!Z157&lt;&gt;"",VLOOKUP('Comptage Décadaire'!Z157,Nomenclature!$F$2:$G$7,2,FALSE),"")</f>
        <v/>
      </c>
      <c r="Z156" s="30" t="str">
        <f>IF('Comptage Décadaire'!AA157&lt;&gt;"",VLOOKUP('Comptage Décadaire'!AA157,Nomenclature!$H$2:$I$31,2,FALSE),"")</f>
        <v/>
      </c>
      <c r="AA156" s="30" t="str">
        <f>IF('Comptage Décadaire'!AB157&lt;&gt;"",VLOOKUP('Comptage Décadaire'!AB157,Nomenclature!$J$2:$K$21,2,FALSE),"")</f>
        <v/>
      </c>
      <c r="AB156" s="30" t="str">
        <f>IF('Comptage Décadaire'!AC157&lt;&gt;"",VLOOKUP('Comptage Décadaire'!AC157,'Comptage Décadaire'!AC:AC,1,FALSE),"")</f>
        <v/>
      </c>
      <c r="AC156" s="32" t="str">
        <f>IF('Comptage Décadaire'!AD157&lt;&gt;"",VLOOKUP('Comptage Décadaire'!AD157,Nomenclature!$L$2:$M$8,2,FALSE),"")</f>
        <v/>
      </c>
      <c r="AD156" s="32" t="str">
        <f>IF('Comptage Décadaire'!AE157&lt;&gt;"",VLOOKUP('Comptage Décadaire'!AE157,Utilisateurs!$D$2:$F$81,3,FALSE),"")</f>
        <v/>
      </c>
      <c r="AE156" s="35" t="str">
        <f>IF('Comptage Décadaire'!AF157&lt;&gt;"",VLOOKUP('Comptage Décadaire'!AF157,'Comptage Décadaire'!AF:AF,1,FALSE),"")</f>
        <v/>
      </c>
      <c r="AF156" s="32" t="str">
        <f>IF('Comptage Décadaire'!AG157&lt;&gt;"",VLOOKUP('Comptage Décadaire'!AG157,'Comptage Décadaire'!AG:AG,1,FALSE),"")</f>
        <v/>
      </c>
    </row>
    <row r="157" spans="1:32" x14ac:dyDescent="0.25">
      <c r="A157" s="25" t="str">
        <f>IF('Comptage Décadaire'!A158&lt;&gt;"",VLOOKUP('Comptage Décadaire'!A158,'Comptage Décadaire'!A:A,1,FALSE),"")</f>
        <v/>
      </c>
      <c r="B157" s="27" t="str">
        <f>IF('Comptage Décadaire'!B158&lt;&gt;"",VLOOKUP('Comptage Décadaire'!B158,'Comptage Décadaire'!B:B,1,FALSE),"")</f>
        <v/>
      </c>
      <c r="C157" s="28" t="str">
        <f>IF('Comptage Décadaire'!C158&lt;&gt;"",VLOOKUP('Comptage Décadaire'!C158,'Comptage Décadaire'!C:C,1,FALSE),"")</f>
        <v/>
      </c>
      <c r="D157" s="29" t="str">
        <f>IF('Comptage Décadaire'!D158&lt;&gt;"",VLOOKUP('Comptage Décadaire'!D158,Sites!$A:$B,2,FALSE),"")</f>
        <v/>
      </c>
      <c r="E157" s="29" t="str">
        <f>IF('Comptage Décadaire'!E158&lt;&gt;"",VLOOKUP('Comptage Décadaire'!E158,'Comptage Décadaire'!E:E,1,FALSE),"")</f>
        <v/>
      </c>
      <c r="F157" s="29" t="str">
        <f>IF('Comptage Décadaire'!F158&lt;&gt;"",VLOOKUP('Comptage Décadaire'!F158,Nomenclature!$B$2:$C$4,2,FALSE),"")</f>
        <v/>
      </c>
      <c r="G157" s="29" t="str">
        <f>IF('Comptage Décadaire'!G158&lt;&gt;"",VLOOKUP('Comptage Décadaire'!G158,'Comptage Décadaire'!G:G,1,FALSE),"")</f>
        <v/>
      </c>
      <c r="H157" s="29" t="str">
        <f>IF('Comptage Décadaire'!H158&lt;&gt;"",VLOOKUP('Comptage Décadaire'!H158,Nomenclature!$D$2:$E$7,2,FALSE),"")</f>
        <v/>
      </c>
      <c r="I157" s="30" t="str">
        <f>IF('Comptage Décadaire'!J158&lt;&gt;"",VLOOKUP('Comptage Décadaire'!J158,'Comptage Décadaire'!J:J,1,FALSE),"")</f>
        <v/>
      </c>
      <c r="J157" s="30" t="str">
        <f>IF('Comptage Décadaire'!K158&lt;&gt;"",VLOOKUP('Comptage Décadaire'!K158,'Comptage Décadaire'!K:K,1,FALSE),"")</f>
        <v/>
      </c>
      <c r="K157" s="30" t="str">
        <f>IF('Comptage Décadaire'!L158&lt;&gt;"",VLOOKUP('Comptage Décadaire'!L158,'Comptage Décadaire'!L:L,1,FALSE),"")</f>
        <v/>
      </c>
      <c r="L157" s="31" t="str">
        <f>IF('Comptage Décadaire'!M158&lt;&gt;"",VLOOKUP('Comptage Décadaire'!M158,'Comptage Décadaire'!M:M,1,FALSE),"")</f>
        <v/>
      </c>
      <c r="M157" s="33" t="str">
        <f>IF('Comptage Décadaire'!N158&lt;&gt;"",VLOOKUP('Comptage Décadaire'!N158,Utilisateurs!$D:$F,3,FALSE),"")</f>
        <v/>
      </c>
      <c r="N157" s="33" t="str">
        <f>IF('Comptage Décadaire'!O158&lt;&gt;"",VLOOKUP('Comptage Décadaire'!O158,Utilisateurs!$D:$F,3,FALSE),"")</f>
        <v/>
      </c>
      <c r="O157" s="33" t="str">
        <f>IF('Comptage Décadaire'!P158&lt;&gt;"",VLOOKUP('Comptage Décadaire'!P158,Utilisateurs!$D:$F,3,FALSE),"")</f>
        <v/>
      </c>
      <c r="P157" s="33" t="str">
        <f>IF('Comptage Décadaire'!Q158&lt;&gt;"",VLOOKUP('Comptage Décadaire'!Q158,Utilisateurs!$D:$F,3,FALSE),"")</f>
        <v/>
      </c>
      <c r="Q157" s="33" t="str">
        <f>IF('Comptage Décadaire'!R158&lt;&gt;"",VLOOKUP('Comptage Décadaire'!R158,Utilisateurs!$D:$F,3,FALSE),"")</f>
        <v/>
      </c>
      <c r="R157" s="30" t="str">
        <f>IF('Comptage Décadaire'!S158&lt;&gt;"",VLOOKUP('Comptage Décadaire'!S158,Nomenclature!$N:$O,2,FALSE),"")</f>
        <v/>
      </c>
      <c r="S157" s="30" t="str">
        <f>IF('Comptage Décadaire'!T158&lt;&gt;"",VLOOKUP('Comptage Décadaire'!T158,'Comptage Décadaire'!T:T,1,FALSE),"")</f>
        <v/>
      </c>
      <c r="T157" s="30" t="str">
        <f>IF('Comptage Décadaire'!U158&lt;&gt;"",VLOOKUP('Comptage Décadaire'!U158,'Comptage Décadaire'!U:U,1,FALSE),"")</f>
        <v/>
      </c>
      <c r="U157" s="30" t="str">
        <f>IF('Comptage Décadaire'!V158&lt;&gt;"",VLOOKUP('Comptage Décadaire'!V158,'Comptage Décadaire'!V:V,1,FALSE),"")</f>
        <v/>
      </c>
      <c r="V157" s="30" t="str">
        <f>IF('Comptage Décadaire'!W158&lt;&gt;"",VLOOKUP('Comptage Décadaire'!W158,'Comptage Décadaire'!W:W,1,FALSE),"")</f>
        <v/>
      </c>
      <c r="W157" s="30" t="str">
        <f>IF('Comptage Décadaire'!X158&lt;&gt;"",VLOOKUP('Comptage Décadaire'!X158,'Comptage Décadaire'!X:X,1,FALSE),"")</f>
        <v/>
      </c>
      <c r="X157" s="30" t="str">
        <f>IF('Comptage Décadaire'!Y158&lt;&gt;"",VLOOKUP('Comptage Décadaire'!Y158,'Comptage Décadaire'!Y:Y,1,FALSE),"")</f>
        <v/>
      </c>
      <c r="Y157" s="30" t="str">
        <f>IF('Comptage Décadaire'!Z158&lt;&gt;"",VLOOKUP('Comptage Décadaire'!Z158,Nomenclature!$F$2:$G$7,2,FALSE),"")</f>
        <v/>
      </c>
      <c r="Z157" s="30" t="str">
        <f>IF('Comptage Décadaire'!AA158&lt;&gt;"",VLOOKUP('Comptage Décadaire'!AA158,Nomenclature!$H$2:$I$31,2,FALSE),"")</f>
        <v/>
      </c>
      <c r="AA157" s="30" t="str">
        <f>IF('Comptage Décadaire'!AB158&lt;&gt;"",VLOOKUP('Comptage Décadaire'!AB158,Nomenclature!$J$2:$K$21,2,FALSE),"")</f>
        <v/>
      </c>
      <c r="AB157" s="30" t="str">
        <f>IF('Comptage Décadaire'!AC158&lt;&gt;"",VLOOKUP('Comptage Décadaire'!AC158,'Comptage Décadaire'!AC:AC,1,FALSE),"")</f>
        <v/>
      </c>
      <c r="AC157" s="32" t="str">
        <f>IF('Comptage Décadaire'!AD158&lt;&gt;"",VLOOKUP('Comptage Décadaire'!AD158,Nomenclature!$L$2:$M$8,2,FALSE),"")</f>
        <v/>
      </c>
      <c r="AD157" s="32" t="str">
        <f>IF('Comptage Décadaire'!AE158&lt;&gt;"",VLOOKUP('Comptage Décadaire'!AE158,Utilisateurs!$D$2:$F$81,3,FALSE),"")</f>
        <v/>
      </c>
      <c r="AE157" s="35" t="str">
        <f>IF('Comptage Décadaire'!AF158&lt;&gt;"",VLOOKUP('Comptage Décadaire'!AF158,'Comptage Décadaire'!AF:AF,1,FALSE),"")</f>
        <v/>
      </c>
      <c r="AF157" s="32" t="str">
        <f>IF('Comptage Décadaire'!AG158&lt;&gt;"",VLOOKUP('Comptage Décadaire'!AG158,'Comptage Décadaire'!AG:AG,1,FALSE),"")</f>
        <v/>
      </c>
    </row>
    <row r="158" spans="1:32" x14ac:dyDescent="0.25">
      <c r="A158" s="25" t="str">
        <f>IF('Comptage Décadaire'!A159&lt;&gt;"",VLOOKUP('Comptage Décadaire'!A159,'Comptage Décadaire'!A:A,1,FALSE),"")</f>
        <v/>
      </c>
      <c r="B158" s="27" t="str">
        <f>IF('Comptage Décadaire'!B159&lt;&gt;"",VLOOKUP('Comptage Décadaire'!B159,'Comptage Décadaire'!B:B,1,FALSE),"")</f>
        <v/>
      </c>
      <c r="C158" s="28" t="str">
        <f>IF('Comptage Décadaire'!C159&lt;&gt;"",VLOOKUP('Comptage Décadaire'!C159,'Comptage Décadaire'!C:C,1,FALSE),"")</f>
        <v/>
      </c>
      <c r="D158" s="29" t="str">
        <f>IF('Comptage Décadaire'!D159&lt;&gt;"",VLOOKUP('Comptage Décadaire'!D159,Sites!$A:$B,2,FALSE),"")</f>
        <v/>
      </c>
      <c r="E158" s="29" t="str">
        <f>IF('Comptage Décadaire'!E159&lt;&gt;"",VLOOKUP('Comptage Décadaire'!E159,'Comptage Décadaire'!E:E,1,FALSE),"")</f>
        <v/>
      </c>
      <c r="F158" s="29" t="str">
        <f>IF('Comptage Décadaire'!F159&lt;&gt;"",VLOOKUP('Comptage Décadaire'!F159,Nomenclature!$B$2:$C$4,2,FALSE),"")</f>
        <v/>
      </c>
      <c r="G158" s="29" t="str">
        <f>IF('Comptage Décadaire'!G159&lt;&gt;"",VLOOKUP('Comptage Décadaire'!G159,'Comptage Décadaire'!G:G,1,FALSE),"")</f>
        <v/>
      </c>
      <c r="H158" s="29" t="str">
        <f>IF('Comptage Décadaire'!H159&lt;&gt;"",VLOOKUP('Comptage Décadaire'!H159,Nomenclature!$D$2:$E$7,2,FALSE),"")</f>
        <v/>
      </c>
      <c r="I158" s="30" t="str">
        <f>IF('Comptage Décadaire'!J159&lt;&gt;"",VLOOKUP('Comptage Décadaire'!J159,'Comptage Décadaire'!J:J,1,FALSE),"")</f>
        <v/>
      </c>
      <c r="J158" s="30" t="str">
        <f>IF('Comptage Décadaire'!K159&lt;&gt;"",VLOOKUP('Comptage Décadaire'!K159,'Comptage Décadaire'!K:K,1,FALSE),"")</f>
        <v/>
      </c>
      <c r="K158" s="30" t="str">
        <f>IF('Comptage Décadaire'!L159&lt;&gt;"",VLOOKUP('Comptage Décadaire'!L159,'Comptage Décadaire'!L:L,1,FALSE),"")</f>
        <v/>
      </c>
      <c r="L158" s="31" t="str">
        <f>IF('Comptage Décadaire'!M159&lt;&gt;"",VLOOKUP('Comptage Décadaire'!M159,'Comptage Décadaire'!M:M,1,FALSE),"")</f>
        <v/>
      </c>
      <c r="M158" s="33" t="str">
        <f>IF('Comptage Décadaire'!N159&lt;&gt;"",VLOOKUP('Comptage Décadaire'!N159,Utilisateurs!$D:$F,3,FALSE),"")</f>
        <v/>
      </c>
      <c r="N158" s="33" t="str">
        <f>IF('Comptage Décadaire'!O159&lt;&gt;"",VLOOKUP('Comptage Décadaire'!O159,Utilisateurs!$D:$F,3,FALSE),"")</f>
        <v/>
      </c>
      <c r="O158" s="33" t="str">
        <f>IF('Comptage Décadaire'!P159&lt;&gt;"",VLOOKUP('Comptage Décadaire'!P159,Utilisateurs!$D:$F,3,FALSE),"")</f>
        <v/>
      </c>
      <c r="P158" s="33" t="str">
        <f>IF('Comptage Décadaire'!Q159&lt;&gt;"",VLOOKUP('Comptage Décadaire'!Q159,Utilisateurs!$D:$F,3,FALSE),"")</f>
        <v/>
      </c>
      <c r="Q158" s="33" t="str">
        <f>IF('Comptage Décadaire'!R159&lt;&gt;"",VLOOKUP('Comptage Décadaire'!R159,Utilisateurs!$D:$F,3,FALSE),"")</f>
        <v/>
      </c>
      <c r="R158" s="30" t="str">
        <f>IF('Comptage Décadaire'!S159&lt;&gt;"",VLOOKUP('Comptage Décadaire'!S159,Nomenclature!$N:$O,2,FALSE),"")</f>
        <v/>
      </c>
      <c r="S158" s="30" t="str">
        <f>IF('Comptage Décadaire'!T159&lt;&gt;"",VLOOKUP('Comptage Décadaire'!T159,'Comptage Décadaire'!T:T,1,FALSE),"")</f>
        <v/>
      </c>
      <c r="T158" s="30" t="str">
        <f>IF('Comptage Décadaire'!U159&lt;&gt;"",VLOOKUP('Comptage Décadaire'!U159,'Comptage Décadaire'!U:U,1,FALSE),"")</f>
        <v/>
      </c>
      <c r="U158" s="30" t="str">
        <f>IF('Comptage Décadaire'!V159&lt;&gt;"",VLOOKUP('Comptage Décadaire'!V159,'Comptage Décadaire'!V:V,1,FALSE),"")</f>
        <v/>
      </c>
      <c r="V158" s="30" t="str">
        <f>IF('Comptage Décadaire'!W159&lt;&gt;"",VLOOKUP('Comptage Décadaire'!W159,'Comptage Décadaire'!W:W,1,FALSE),"")</f>
        <v/>
      </c>
      <c r="W158" s="30" t="str">
        <f>IF('Comptage Décadaire'!X159&lt;&gt;"",VLOOKUP('Comptage Décadaire'!X159,'Comptage Décadaire'!X:X,1,FALSE),"")</f>
        <v/>
      </c>
      <c r="X158" s="30" t="str">
        <f>IF('Comptage Décadaire'!Y159&lt;&gt;"",VLOOKUP('Comptage Décadaire'!Y159,'Comptage Décadaire'!Y:Y,1,FALSE),"")</f>
        <v/>
      </c>
      <c r="Y158" s="30" t="str">
        <f>IF('Comptage Décadaire'!Z159&lt;&gt;"",VLOOKUP('Comptage Décadaire'!Z159,Nomenclature!$F$2:$G$7,2,FALSE),"")</f>
        <v/>
      </c>
      <c r="Z158" s="30" t="str">
        <f>IF('Comptage Décadaire'!AA159&lt;&gt;"",VLOOKUP('Comptage Décadaire'!AA159,Nomenclature!$H$2:$I$31,2,FALSE),"")</f>
        <v/>
      </c>
      <c r="AA158" s="30" t="str">
        <f>IF('Comptage Décadaire'!AB159&lt;&gt;"",VLOOKUP('Comptage Décadaire'!AB159,Nomenclature!$J$2:$K$21,2,FALSE),"")</f>
        <v/>
      </c>
      <c r="AB158" s="30" t="str">
        <f>IF('Comptage Décadaire'!AC159&lt;&gt;"",VLOOKUP('Comptage Décadaire'!AC159,'Comptage Décadaire'!AC:AC,1,FALSE),"")</f>
        <v/>
      </c>
      <c r="AC158" s="32" t="str">
        <f>IF('Comptage Décadaire'!AD159&lt;&gt;"",VLOOKUP('Comptage Décadaire'!AD159,Nomenclature!$L$2:$M$8,2,FALSE),"")</f>
        <v/>
      </c>
      <c r="AD158" s="32" t="str">
        <f>IF('Comptage Décadaire'!AE159&lt;&gt;"",VLOOKUP('Comptage Décadaire'!AE159,Utilisateurs!$D$2:$F$81,3,FALSE),"")</f>
        <v/>
      </c>
      <c r="AE158" s="35" t="str">
        <f>IF('Comptage Décadaire'!AF159&lt;&gt;"",VLOOKUP('Comptage Décadaire'!AF159,'Comptage Décadaire'!AF:AF,1,FALSE),"")</f>
        <v/>
      </c>
      <c r="AF158" s="32" t="str">
        <f>IF('Comptage Décadaire'!AG159&lt;&gt;"",VLOOKUP('Comptage Décadaire'!AG159,'Comptage Décadaire'!AG:AG,1,FALSE),"")</f>
        <v/>
      </c>
    </row>
    <row r="159" spans="1:32" x14ac:dyDescent="0.25">
      <c r="A159" s="25" t="str">
        <f>IF('Comptage Décadaire'!A160&lt;&gt;"",VLOOKUP('Comptage Décadaire'!A160,'Comptage Décadaire'!A:A,1,FALSE),"")</f>
        <v/>
      </c>
      <c r="B159" s="27" t="str">
        <f>IF('Comptage Décadaire'!B160&lt;&gt;"",VLOOKUP('Comptage Décadaire'!B160,'Comptage Décadaire'!B:B,1,FALSE),"")</f>
        <v/>
      </c>
      <c r="C159" s="28" t="str">
        <f>IF('Comptage Décadaire'!C160&lt;&gt;"",VLOOKUP('Comptage Décadaire'!C160,'Comptage Décadaire'!C:C,1,FALSE),"")</f>
        <v/>
      </c>
      <c r="D159" s="29" t="str">
        <f>IF('Comptage Décadaire'!D160&lt;&gt;"",VLOOKUP('Comptage Décadaire'!D160,Sites!$A:$B,2,FALSE),"")</f>
        <v/>
      </c>
      <c r="E159" s="29" t="str">
        <f>IF('Comptage Décadaire'!E160&lt;&gt;"",VLOOKUP('Comptage Décadaire'!E160,'Comptage Décadaire'!E:E,1,FALSE),"")</f>
        <v/>
      </c>
      <c r="F159" s="29" t="str">
        <f>IF('Comptage Décadaire'!F160&lt;&gt;"",VLOOKUP('Comptage Décadaire'!F160,Nomenclature!$B$2:$C$4,2,FALSE),"")</f>
        <v/>
      </c>
      <c r="G159" s="29" t="str">
        <f>IF('Comptage Décadaire'!G160&lt;&gt;"",VLOOKUP('Comptage Décadaire'!G160,'Comptage Décadaire'!G:G,1,FALSE),"")</f>
        <v/>
      </c>
      <c r="H159" s="29" t="str">
        <f>IF('Comptage Décadaire'!H160&lt;&gt;"",VLOOKUP('Comptage Décadaire'!H160,Nomenclature!$D$2:$E$7,2,FALSE),"")</f>
        <v/>
      </c>
      <c r="I159" s="30" t="str">
        <f>IF('Comptage Décadaire'!J160&lt;&gt;"",VLOOKUP('Comptage Décadaire'!J160,'Comptage Décadaire'!J:J,1,FALSE),"")</f>
        <v/>
      </c>
      <c r="J159" s="30" t="str">
        <f>IF('Comptage Décadaire'!K160&lt;&gt;"",VLOOKUP('Comptage Décadaire'!K160,'Comptage Décadaire'!K:K,1,FALSE),"")</f>
        <v/>
      </c>
      <c r="K159" s="30" t="str">
        <f>IF('Comptage Décadaire'!L160&lt;&gt;"",VLOOKUP('Comptage Décadaire'!L160,'Comptage Décadaire'!L:L,1,FALSE),"")</f>
        <v/>
      </c>
      <c r="L159" s="31" t="str">
        <f>IF('Comptage Décadaire'!M160&lt;&gt;"",VLOOKUP('Comptage Décadaire'!M160,'Comptage Décadaire'!M:M,1,FALSE),"")</f>
        <v/>
      </c>
      <c r="M159" s="33" t="str">
        <f>IF('Comptage Décadaire'!N160&lt;&gt;"",VLOOKUP('Comptage Décadaire'!N160,Utilisateurs!$D:$F,3,FALSE),"")</f>
        <v/>
      </c>
      <c r="N159" s="33" t="str">
        <f>IF('Comptage Décadaire'!O160&lt;&gt;"",VLOOKUP('Comptage Décadaire'!O160,Utilisateurs!$D:$F,3,FALSE),"")</f>
        <v/>
      </c>
      <c r="O159" s="33" t="str">
        <f>IF('Comptage Décadaire'!P160&lt;&gt;"",VLOOKUP('Comptage Décadaire'!P160,Utilisateurs!$D:$F,3,FALSE),"")</f>
        <v/>
      </c>
      <c r="P159" s="33" t="str">
        <f>IF('Comptage Décadaire'!Q160&lt;&gt;"",VLOOKUP('Comptage Décadaire'!Q160,Utilisateurs!$D:$F,3,FALSE),"")</f>
        <v/>
      </c>
      <c r="Q159" s="33" t="str">
        <f>IF('Comptage Décadaire'!R160&lt;&gt;"",VLOOKUP('Comptage Décadaire'!R160,Utilisateurs!$D:$F,3,FALSE),"")</f>
        <v/>
      </c>
      <c r="R159" s="30" t="str">
        <f>IF('Comptage Décadaire'!S160&lt;&gt;"",VLOOKUP('Comptage Décadaire'!S160,Nomenclature!$N:$O,2,FALSE),"")</f>
        <v/>
      </c>
      <c r="S159" s="30" t="str">
        <f>IF('Comptage Décadaire'!T160&lt;&gt;"",VLOOKUP('Comptage Décadaire'!T160,'Comptage Décadaire'!T:T,1,FALSE),"")</f>
        <v/>
      </c>
      <c r="T159" s="30" t="str">
        <f>IF('Comptage Décadaire'!U160&lt;&gt;"",VLOOKUP('Comptage Décadaire'!U160,'Comptage Décadaire'!U:U,1,FALSE),"")</f>
        <v/>
      </c>
      <c r="U159" s="30" t="str">
        <f>IF('Comptage Décadaire'!V160&lt;&gt;"",VLOOKUP('Comptage Décadaire'!V160,'Comptage Décadaire'!V:V,1,FALSE),"")</f>
        <v/>
      </c>
      <c r="V159" s="30" t="str">
        <f>IF('Comptage Décadaire'!W160&lt;&gt;"",VLOOKUP('Comptage Décadaire'!W160,'Comptage Décadaire'!W:W,1,FALSE),"")</f>
        <v/>
      </c>
      <c r="W159" s="30" t="str">
        <f>IF('Comptage Décadaire'!X160&lt;&gt;"",VLOOKUP('Comptage Décadaire'!X160,'Comptage Décadaire'!X:X,1,FALSE),"")</f>
        <v/>
      </c>
      <c r="X159" s="30" t="str">
        <f>IF('Comptage Décadaire'!Y160&lt;&gt;"",VLOOKUP('Comptage Décadaire'!Y160,'Comptage Décadaire'!Y:Y,1,FALSE),"")</f>
        <v/>
      </c>
      <c r="Y159" s="30" t="str">
        <f>IF('Comptage Décadaire'!Z160&lt;&gt;"",VLOOKUP('Comptage Décadaire'!Z160,Nomenclature!$F$2:$G$7,2,FALSE),"")</f>
        <v/>
      </c>
      <c r="Z159" s="30" t="str">
        <f>IF('Comptage Décadaire'!AA160&lt;&gt;"",VLOOKUP('Comptage Décadaire'!AA160,Nomenclature!$H$2:$I$31,2,FALSE),"")</f>
        <v/>
      </c>
      <c r="AA159" s="30" t="str">
        <f>IF('Comptage Décadaire'!AB160&lt;&gt;"",VLOOKUP('Comptage Décadaire'!AB160,Nomenclature!$J$2:$K$21,2,FALSE),"")</f>
        <v/>
      </c>
      <c r="AB159" s="30" t="str">
        <f>IF('Comptage Décadaire'!AC160&lt;&gt;"",VLOOKUP('Comptage Décadaire'!AC160,'Comptage Décadaire'!AC:AC,1,FALSE),"")</f>
        <v/>
      </c>
      <c r="AC159" s="32" t="str">
        <f>IF('Comptage Décadaire'!AD160&lt;&gt;"",VLOOKUP('Comptage Décadaire'!AD160,Nomenclature!$L$2:$M$8,2,FALSE),"")</f>
        <v/>
      </c>
      <c r="AD159" s="32" t="str">
        <f>IF('Comptage Décadaire'!AE160&lt;&gt;"",VLOOKUP('Comptage Décadaire'!AE160,Utilisateurs!$D$2:$F$81,3,FALSE),"")</f>
        <v/>
      </c>
      <c r="AE159" s="35" t="str">
        <f>IF('Comptage Décadaire'!AF160&lt;&gt;"",VLOOKUP('Comptage Décadaire'!AF160,'Comptage Décadaire'!AF:AF,1,FALSE),"")</f>
        <v/>
      </c>
      <c r="AF159" s="32" t="str">
        <f>IF('Comptage Décadaire'!AG160&lt;&gt;"",VLOOKUP('Comptage Décadaire'!AG160,'Comptage Décadaire'!AG:AG,1,FALSE),"")</f>
        <v/>
      </c>
    </row>
    <row r="160" spans="1:32" x14ac:dyDescent="0.25">
      <c r="A160" s="25" t="str">
        <f>IF('Comptage Décadaire'!A161&lt;&gt;"",VLOOKUP('Comptage Décadaire'!A161,'Comptage Décadaire'!A:A,1,FALSE),"")</f>
        <v/>
      </c>
      <c r="B160" s="27" t="str">
        <f>IF('Comptage Décadaire'!B161&lt;&gt;"",VLOOKUP('Comptage Décadaire'!B161,'Comptage Décadaire'!B:B,1,FALSE),"")</f>
        <v/>
      </c>
      <c r="C160" s="28" t="str">
        <f>IF('Comptage Décadaire'!C161&lt;&gt;"",VLOOKUP('Comptage Décadaire'!C161,'Comptage Décadaire'!C:C,1,FALSE),"")</f>
        <v/>
      </c>
      <c r="D160" s="29" t="str">
        <f>IF('Comptage Décadaire'!D161&lt;&gt;"",VLOOKUP('Comptage Décadaire'!D161,Sites!$A:$B,2,FALSE),"")</f>
        <v/>
      </c>
      <c r="E160" s="29" t="str">
        <f>IF('Comptage Décadaire'!E161&lt;&gt;"",VLOOKUP('Comptage Décadaire'!E161,'Comptage Décadaire'!E:E,1,FALSE),"")</f>
        <v/>
      </c>
      <c r="F160" s="29" t="str">
        <f>IF('Comptage Décadaire'!F161&lt;&gt;"",VLOOKUP('Comptage Décadaire'!F161,Nomenclature!$B$2:$C$4,2,FALSE),"")</f>
        <v/>
      </c>
      <c r="G160" s="29" t="str">
        <f>IF('Comptage Décadaire'!G161&lt;&gt;"",VLOOKUP('Comptage Décadaire'!G161,'Comptage Décadaire'!G:G,1,FALSE),"")</f>
        <v/>
      </c>
      <c r="H160" s="29" t="str">
        <f>IF('Comptage Décadaire'!H161&lt;&gt;"",VLOOKUP('Comptage Décadaire'!H161,Nomenclature!$D$2:$E$7,2,FALSE),"")</f>
        <v/>
      </c>
      <c r="I160" s="30" t="str">
        <f>IF('Comptage Décadaire'!J161&lt;&gt;"",VLOOKUP('Comptage Décadaire'!J161,'Comptage Décadaire'!J:J,1,FALSE),"")</f>
        <v/>
      </c>
      <c r="J160" s="30" t="str">
        <f>IF('Comptage Décadaire'!K161&lt;&gt;"",VLOOKUP('Comptage Décadaire'!K161,'Comptage Décadaire'!K:K,1,FALSE),"")</f>
        <v/>
      </c>
      <c r="K160" s="30" t="str">
        <f>IF('Comptage Décadaire'!L161&lt;&gt;"",VLOOKUP('Comptage Décadaire'!L161,'Comptage Décadaire'!L:L,1,FALSE),"")</f>
        <v/>
      </c>
      <c r="L160" s="31" t="str">
        <f>IF('Comptage Décadaire'!M161&lt;&gt;"",VLOOKUP('Comptage Décadaire'!M161,'Comptage Décadaire'!M:M,1,FALSE),"")</f>
        <v/>
      </c>
      <c r="M160" s="33" t="str">
        <f>IF('Comptage Décadaire'!N161&lt;&gt;"",VLOOKUP('Comptage Décadaire'!N161,Utilisateurs!$D:$F,3,FALSE),"")</f>
        <v/>
      </c>
      <c r="N160" s="33" t="str">
        <f>IF('Comptage Décadaire'!O161&lt;&gt;"",VLOOKUP('Comptage Décadaire'!O161,Utilisateurs!$D:$F,3,FALSE),"")</f>
        <v/>
      </c>
      <c r="O160" s="33" t="str">
        <f>IF('Comptage Décadaire'!P161&lt;&gt;"",VLOOKUP('Comptage Décadaire'!P161,Utilisateurs!$D:$F,3,FALSE),"")</f>
        <v/>
      </c>
      <c r="P160" s="33" t="str">
        <f>IF('Comptage Décadaire'!Q161&lt;&gt;"",VLOOKUP('Comptage Décadaire'!Q161,Utilisateurs!$D:$F,3,FALSE),"")</f>
        <v/>
      </c>
      <c r="Q160" s="33" t="str">
        <f>IF('Comptage Décadaire'!R161&lt;&gt;"",VLOOKUP('Comptage Décadaire'!R161,Utilisateurs!$D:$F,3,FALSE),"")</f>
        <v/>
      </c>
      <c r="R160" s="30" t="str">
        <f>IF('Comptage Décadaire'!S161&lt;&gt;"",VLOOKUP('Comptage Décadaire'!S161,Nomenclature!$N:$O,2,FALSE),"")</f>
        <v/>
      </c>
      <c r="S160" s="30" t="str">
        <f>IF('Comptage Décadaire'!T161&lt;&gt;"",VLOOKUP('Comptage Décadaire'!T161,'Comptage Décadaire'!T:T,1,FALSE),"")</f>
        <v/>
      </c>
      <c r="T160" s="30" t="str">
        <f>IF('Comptage Décadaire'!U161&lt;&gt;"",VLOOKUP('Comptage Décadaire'!U161,'Comptage Décadaire'!U:U,1,FALSE),"")</f>
        <v/>
      </c>
      <c r="U160" s="30" t="str">
        <f>IF('Comptage Décadaire'!V161&lt;&gt;"",VLOOKUP('Comptage Décadaire'!V161,'Comptage Décadaire'!V:V,1,FALSE),"")</f>
        <v/>
      </c>
      <c r="V160" s="30" t="str">
        <f>IF('Comptage Décadaire'!W161&lt;&gt;"",VLOOKUP('Comptage Décadaire'!W161,'Comptage Décadaire'!W:W,1,FALSE),"")</f>
        <v/>
      </c>
      <c r="W160" s="30" t="str">
        <f>IF('Comptage Décadaire'!X161&lt;&gt;"",VLOOKUP('Comptage Décadaire'!X161,'Comptage Décadaire'!X:X,1,FALSE),"")</f>
        <v/>
      </c>
      <c r="X160" s="30" t="str">
        <f>IF('Comptage Décadaire'!Y161&lt;&gt;"",VLOOKUP('Comptage Décadaire'!Y161,'Comptage Décadaire'!Y:Y,1,FALSE),"")</f>
        <v/>
      </c>
      <c r="Y160" s="30" t="str">
        <f>IF('Comptage Décadaire'!Z161&lt;&gt;"",VLOOKUP('Comptage Décadaire'!Z161,Nomenclature!$F$2:$G$7,2,FALSE),"")</f>
        <v/>
      </c>
      <c r="Z160" s="30" t="str">
        <f>IF('Comptage Décadaire'!AA161&lt;&gt;"",VLOOKUP('Comptage Décadaire'!AA161,Nomenclature!$H$2:$I$31,2,FALSE),"")</f>
        <v/>
      </c>
      <c r="AA160" s="30" t="str">
        <f>IF('Comptage Décadaire'!AB161&lt;&gt;"",VLOOKUP('Comptage Décadaire'!AB161,Nomenclature!$J$2:$K$21,2,FALSE),"")</f>
        <v/>
      </c>
      <c r="AB160" s="30" t="str">
        <f>IF('Comptage Décadaire'!AC161&lt;&gt;"",VLOOKUP('Comptage Décadaire'!AC161,'Comptage Décadaire'!AC:AC,1,FALSE),"")</f>
        <v/>
      </c>
      <c r="AC160" s="32" t="str">
        <f>IF('Comptage Décadaire'!AD161&lt;&gt;"",VLOOKUP('Comptage Décadaire'!AD161,Nomenclature!$L$2:$M$8,2,FALSE),"")</f>
        <v/>
      </c>
      <c r="AD160" s="32" t="str">
        <f>IF('Comptage Décadaire'!AE161&lt;&gt;"",VLOOKUP('Comptage Décadaire'!AE161,Utilisateurs!$D$2:$F$81,3,FALSE),"")</f>
        <v/>
      </c>
      <c r="AE160" s="35" t="str">
        <f>IF('Comptage Décadaire'!AF161&lt;&gt;"",VLOOKUP('Comptage Décadaire'!AF161,'Comptage Décadaire'!AF:AF,1,FALSE),"")</f>
        <v/>
      </c>
      <c r="AF160" s="32" t="str">
        <f>IF('Comptage Décadaire'!AG161&lt;&gt;"",VLOOKUP('Comptage Décadaire'!AG161,'Comptage Décadaire'!AG:AG,1,FALSE),"")</f>
        <v/>
      </c>
    </row>
    <row r="161" spans="1:32" x14ac:dyDescent="0.25">
      <c r="A161" s="25" t="str">
        <f>IF('Comptage Décadaire'!A162&lt;&gt;"",VLOOKUP('Comptage Décadaire'!A162,'Comptage Décadaire'!A:A,1,FALSE),"")</f>
        <v/>
      </c>
      <c r="B161" s="27" t="str">
        <f>IF('Comptage Décadaire'!B162&lt;&gt;"",VLOOKUP('Comptage Décadaire'!B162,'Comptage Décadaire'!B:B,1,FALSE),"")</f>
        <v/>
      </c>
      <c r="C161" s="28" t="str">
        <f>IF('Comptage Décadaire'!C162&lt;&gt;"",VLOOKUP('Comptage Décadaire'!C162,'Comptage Décadaire'!C:C,1,FALSE),"")</f>
        <v/>
      </c>
      <c r="D161" s="29" t="str">
        <f>IF('Comptage Décadaire'!D162&lt;&gt;"",VLOOKUP('Comptage Décadaire'!D162,Sites!$A:$B,2,FALSE),"")</f>
        <v/>
      </c>
      <c r="E161" s="29" t="str">
        <f>IF('Comptage Décadaire'!E162&lt;&gt;"",VLOOKUP('Comptage Décadaire'!E162,'Comptage Décadaire'!E:E,1,FALSE),"")</f>
        <v/>
      </c>
      <c r="F161" s="29" t="str">
        <f>IF('Comptage Décadaire'!F162&lt;&gt;"",VLOOKUP('Comptage Décadaire'!F162,Nomenclature!$B$2:$C$4,2,FALSE),"")</f>
        <v/>
      </c>
      <c r="G161" s="29" t="str">
        <f>IF('Comptage Décadaire'!G162&lt;&gt;"",VLOOKUP('Comptage Décadaire'!G162,'Comptage Décadaire'!G:G,1,FALSE),"")</f>
        <v/>
      </c>
      <c r="H161" s="29" t="str">
        <f>IF('Comptage Décadaire'!H162&lt;&gt;"",VLOOKUP('Comptage Décadaire'!H162,Nomenclature!$D$2:$E$7,2,FALSE),"")</f>
        <v/>
      </c>
      <c r="I161" s="30" t="str">
        <f>IF('Comptage Décadaire'!J162&lt;&gt;"",VLOOKUP('Comptage Décadaire'!J162,'Comptage Décadaire'!J:J,1,FALSE),"")</f>
        <v/>
      </c>
      <c r="J161" s="30" t="str">
        <f>IF('Comptage Décadaire'!K162&lt;&gt;"",VLOOKUP('Comptage Décadaire'!K162,'Comptage Décadaire'!K:K,1,FALSE),"")</f>
        <v/>
      </c>
      <c r="K161" s="30" t="str">
        <f>IF('Comptage Décadaire'!L162&lt;&gt;"",VLOOKUP('Comptage Décadaire'!L162,'Comptage Décadaire'!L:L,1,FALSE),"")</f>
        <v/>
      </c>
      <c r="L161" s="31" t="str">
        <f>IF('Comptage Décadaire'!M162&lt;&gt;"",VLOOKUP('Comptage Décadaire'!M162,'Comptage Décadaire'!M:M,1,FALSE),"")</f>
        <v/>
      </c>
      <c r="M161" s="33" t="str">
        <f>IF('Comptage Décadaire'!N162&lt;&gt;"",VLOOKUP('Comptage Décadaire'!N162,Utilisateurs!$D:$F,3,FALSE),"")</f>
        <v/>
      </c>
      <c r="N161" s="33" t="str">
        <f>IF('Comptage Décadaire'!O162&lt;&gt;"",VLOOKUP('Comptage Décadaire'!O162,Utilisateurs!$D:$F,3,FALSE),"")</f>
        <v/>
      </c>
      <c r="O161" s="33" t="str">
        <f>IF('Comptage Décadaire'!P162&lt;&gt;"",VLOOKUP('Comptage Décadaire'!P162,Utilisateurs!$D:$F,3,FALSE),"")</f>
        <v/>
      </c>
      <c r="P161" s="33" t="str">
        <f>IF('Comptage Décadaire'!Q162&lt;&gt;"",VLOOKUP('Comptage Décadaire'!Q162,Utilisateurs!$D:$F,3,FALSE),"")</f>
        <v/>
      </c>
      <c r="Q161" s="33" t="str">
        <f>IF('Comptage Décadaire'!R162&lt;&gt;"",VLOOKUP('Comptage Décadaire'!R162,Utilisateurs!$D:$F,3,FALSE),"")</f>
        <v/>
      </c>
      <c r="R161" s="30" t="str">
        <f>IF('Comptage Décadaire'!S162&lt;&gt;"",VLOOKUP('Comptage Décadaire'!S162,Nomenclature!$N:$O,2,FALSE),"")</f>
        <v/>
      </c>
      <c r="S161" s="30" t="str">
        <f>IF('Comptage Décadaire'!T162&lt;&gt;"",VLOOKUP('Comptage Décadaire'!T162,'Comptage Décadaire'!T:T,1,FALSE),"")</f>
        <v/>
      </c>
      <c r="T161" s="30" t="str">
        <f>IF('Comptage Décadaire'!U162&lt;&gt;"",VLOOKUP('Comptage Décadaire'!U162,'Comptage Décadaire'!U:U,1,FALSE),"")</f>
        <v/>
      </c>
      <c r="U161" s="30" t="str">
        <f>IF('Comptage Décadaire'!V162&lt;&gt;"",VLOOKUP('Comptage Décadaire'!V162,'Comptage Décadaire'!V:V,1,FALSE),"")</f>
        <v/>
      </c>
      <c r="V161" s="30" t="str">
        <f>IF('Comptage Décadaire'!W162&lt;&gt;"",VLOOKUP('Comptage Décadaire'!W162,'Comptage Décadaire'!W:W,1,FALSE),"")</f>
        <v/>
      </c>
      <c r="W161" s="30" t="str">
        <f>IF('Comptage Décadaire'!X162&lt;&gt;"",VLOOKUP('Comptage Décadaire'!X162,'Comptage Décadaire'!X:X,1,FALSE),"")</f>
        <v/>
      </c>
      <c r="X161" s="30" t="str">
        <f>IF('Comptage Décadaire'!Y162&lt;&gt;"",VLOOKUP('Comptage Décadaire'!Y162,'Comptage Décadaire'!Y:Y,1,FALSE),"")</f>
        <v/>
      </c>
      <c r="Y161" s="30" t="str">
        <f>IF('Comptage Décadaire'!Z162&lt;&gt;"",VLOOKUP('Comptage Décadaire'!Z162,Nomenclature!$F$2:$G$7,2,FALSE),"")</f>
        <v/>
      </c>
      <c r="Z161" s="30" t="str">
        <f>IF('Comptage Décadaire'!AA162&lt;&gt;"",VLOOKUP('Comptage Décadaire'!AA162,Nomenclature!$H$2:$I$31,2,FALSE),"")</f>
        <v/>
      </c>
      <c r="AA161" s="30" t="str">
        <f>IF('Comptage Décadaire'!AB162&lt;&gt;"",VLOOKUP('Comptage Décadaire'!AB162,Nomenclature!$J$2:$K$21,2,FALSE),"")</f>
        <v/>
      </c>
      <c r="AB161" s="30" t="str">
        <f>IF('Comptage Décadaire'!AC162&lt;&gt;"",VLOOKUP('Comptage Décadaire'!AC162,'Comptage Décadaire'!AC:AC,1,FALSE),"")</f>
        <v/>
      </c>
      <c r="AC161" s="32" t="str">
        <f>IF('Comptage Décadaire'!AD162&lt;&gt;"",VLOOKUP('Comptage Décadaire'!AD162,Nomenclature!$L$2:$M$8,2,FALSE),"")</f>
        <v/>
      </c>
      <c r="AD161" s="32" t="str">
        <f>IF('Comptage Décadaire'!AE162&lt;&gt;"",VLOOKUP('Comptage Décadaire'!AE162,Utilisateurs!$D$2:$F$81,3,FALSE),"")</f>
        <v/>
      </c>
      <c r="AE161" s="35" t="str">
        <f>IF('Comptage Décadaire'!AF162&lt;&gt;"",VLOOKUP('Comptage Décadaire'!AF162,'Comptage Décadaire'!AF:AF,1,FALSE),"")</f>
        <v/>
      </c>
      <c r="AF161" s="32" t="str">
        <f>IF('Comptage Décadaire'!AG162&lt;&gt;"",VLOOKUP('Comptage Décadaire'!AG162,'Comptage Décadaire'!AG:AG,1,FALSE),"")</f>
        <v/>
      </c>
    </row>
    <row r="162" spans="1:32" x14ac:dyDescent="0.25">
      <c r="A162" s="25" t="str">
        <f>IF('Comptage Décadaire'!A163&lt;&gt;"",VLOOKUP('Comptage Décadaire'!A163,'Comptage Décadaire'!A:A,1,FALSE),"")</f>
        <v/>
      </c>
      <c r="B162" s="27" t="str">
        <f>IF('Comptage Décadaire'!B163&lt;&gt;"",VLOOKUP('Comptage Décadaire'!B163,'Comptage Décadaire'!B:B,1,FALSE),"")</f>
        <v/>
      </c>
      <c r="C162" s="28" t="str">
        <f>IF('Comptage Décadaire'!C163&lt;&gt;"",VLOOKUP('Comptage Décadaire'!C163,'Comptage Décadaire'!C:C,1,FALSE),"")</f>
        <v/>
      </c>
      <c r="D162" s="29" t="str">
        <f>IF('Comptage Décadaire'!D163&lt;&gt;"",VLOOKUP('Comptage Décadaire'!D163,Sites!$A:$B,2,FALSE),"")</f>
        <v/>
      </c>
      <c r="E162" s="29" t="str">
        <f>IF('Comptage Décadaire'!E163&lt;&gt;"",VLOOKUP('Comptage Décadaire'!E163,'Comptage Décadaire'!E:E,1,FALSE),"")</f>
        <v/>
      </c>
      <c r="F162" s="29" t="str">
        <f>IF('Comptage Décadaire'!F163&lt;&gt;"",VLOOKUP('Comptage Décadaire'!F163,Nomenclature!$B$2:$C$4,2,FALSE),"")</f>
        <v/>
      </c>
      <c r="G162" s="29" t="str">
        <f>IF('Comptage Décadaire'!G163&lt;&gt;"",VLOOKUP('Comptage Décadaire'!G163,'Comptage Décadaire'!G:G,1,FALSE),"")</f>
        <v/>
      </c>
      <c r="H162" s="29" t="str">
        <f>IF('Comptage Décadaire'!H163&lt;&gt;"",VLOOKUP('Comptage Décadaire'!H163,Nomenclature!$D$2:$E$7,2,FALSE),"")</f>
        <v/>
      </c>
      <c r="I162" s="30" t="str">
        <f>IF('Comptage Décadaire'!J163&lt;&gt;"",VLOOKUP('Comptage Décadaire'!J163,'Comptage Décadaire'!J:J,1,FALSE),"")</f>
        <v/>
      </c>
      <c r="J162" s="30" t="str">
        <f>IF('Comptage Décadaire'!K163&lt;&gt;"",VLOOKUP('Comptage Décadaire'!K163,'Comptage Décadaire'!K:K,1,FALSE),"")</f>
        <v/>
      </c>
      <c r="K162" s="30" t="str">
        <f>IF('Comptage Décadaire'!L163&lt;&gt;"",VLOOKUP('Comptage Décadaire'!L163,'Comptage Décadaire'!L:L,1,FALSE),"")</f>
        <v/>
      </c>
      <c r="L162" s="31" t="str">
        <f>IF('Comptage Décadaire'!M163&lt;&gt;"",VLOOKUP('Comptage Décadaire'!M163,'Comptage Décadaire'!M:M,1,FALSE),"")</f>
        <v/>
      </c>
      <c r="M162" s="33" t="str">
        <f>IF('Comptage Décadaire'!N163&lt;&gt;"",VLOOKUP('Comptage Décadaire'!N163,Utilisateurs!$D:$F,3,FALSE),"")</f>
        <v/>
      </c>
      <c r="N162" s="33" t="str">
        <f>IF('Comptage Décadaire'!O163&lt;&gt;"",VLOOKUP('Comptage Décadaire'!O163,Utilisateurs!$D:$F,3,FALSE),"")</f>
        <v/>
      </c>
      <c r="O162" s="33" t="str">
        <f>IF('Comptage Décadaire'!P163&lt;&gt;"",VLOOKUP('Comptage Décadaire'!P163,Utilisateurs!$D:$F,3,FALSE),"")</f>
        <v/>
      </c>
      <c r="P162" s="33" t="str">
        <f>IF('Comptage Décadaire'!Q163&lt;&gt;"",VLOOKUP('Comptage Décadaire'!Q163,Utilisateurs!$D:$F,3,FALSE),"")</f>
        <v/>
      </c>
      <c r="Q162" s="33" t="str">
        <f>IF('Comptage Décadaire'!R163&lt;&gt;"",VLOOKUP('Comptage Décadaire'!R163,Utilisateurs!$D:$F,3,FALSE),"")</f>
        <v/>
      </c>
      <c r="R162" s="30" t="str">
        <f>IF('Comptage Décadaire'!S163&lt;&gt;"",VLOOKUP('Comptage Décadaire'!S163,Nomenclature!$N:$O,2,FALSE),"")</f>
        <v/>
      </c>
      <c r="S162" s="30" t="str">
        <f>IF('Comptage Décadaire'!T163&lt;&gt;"",VLOOKUP('Comptage Décadaire'!T163,'Comptage Décadaire'!T:T,1,FALSE),"")</f>
        <v/>
      </c>
      <c r="T162" s="30" t="str">
        <f>IF('Comptage Décadaire'!U163&lt;&gt;"",VLOOKUP('Comptage Décadaire'!U163,'Comptage Décadaire'!U:U,1,FALSE),"")</f>
        <v/>
      </c>
      <c r="U162" s="30" t="str">
        <f>IF('Comptage Décadaire'!V163&lt;&gt;"",VLOOKUP('Comptage Décadaire'!V163,'Comptage Décadaire'!V:V,1,FALSE),"")</f>
        <v/>
      </c>
      <c r="V162" s="30" t="str">
        <f>IF('Comptage Décadaire'!W163&lt;&gt;"",VLOOKUP('Comptage Décadaire'!W163,'Comptage Décadaire'!W:W,1,FALSE),"")</f>
        <v/>
      </c>
      <c r="W162" s="30" t="str">
        <f>IF('Comptage Décadaire'!X163&lt;&gt;"",VLOOKUP('Comptage Décadaire'!X163,'Comptage Décadaire'!X:X,1,FALSE),"")</f>
        <v/>
      </c>
      <c r="X162" s="30" t="str">
        <f>IF('Comptage Décadaire'!Y163&lt;&gt;"",VLOOKUP('Comptage Décadaire'!Y163,'Comptage Décadaire'!Y:Y,1,FALSE),"")</f>
        <v/>
      </c>
      <c r="Y162" s="30" t="str">
        <f>IF('Comptage Décadaire'!Z163&lt;&gt;"",VLOOKUP('Comptage Décadaire'!Z163,Nomenclature!$F$2:$G$7,2,FALSE),"")</f>
        <v/>
      </c>
      <c r="Z162" s="30" t="str">
        <f>IF('Comptage Décadaire'!AA163&lt;&gt;"",VLOOKUP('Comptage Décadaire'!AA163,Nomenclature!$H$2:$I$31,2,FALSE),"")</f>
        <v/>
      </c>
      <c r="AA162" s="30" t="str">
        <f>IF('Comptage Décadaire'!AB163&lt;&gt;"",VLOOKUP('Comptage Décadaire'!AB163,Nomenclature!$J$2:$K$21,2,FALSE),"")</f>
        <v/>
      </c>
      <c r="AB162" s="30" t="str">
        <f>IF('Comptage Décadaire'!AC163&lt;&gt;"",VLOOKUP('Comptage Décadaire'!AC163,'Comptage Décadaire'!AC:AC,1,FALSE),"")</f>
        <v/>
      </c>
      <c r="AC162" s="32" t="str">
        <f>IF('Comptage Décadaire'!AD163&lt;&gt;"",VLOOKUP('Comptage Décadaire'!AD163,Nomenclature!$L$2:$M$8,2,FALSE),"")</f>
        <v/>
      </c>
      <c r="AD162" s="32" t="str">
        <f>IF('Comptage Décadaire'!AE163&lt;&gt;"",VLOOKUP('Comptage Décadaire'!AE163,Utilisateurs!$D$2:$F$81,3,FALSE),"")</f>
        <v/>
      </c>
      <c r="AE162" s="35" t="str">
        <f>IF('Comptage Décadaire'!AF163&lt;&gt;"",VLOOKUP('Comptage Décadaire'!AF163,'Comptage Décadaire'!AF:AF,1,FALSE),"")</f>
        <v/>
      </c>
      <c r="AF162" s="32" t="str">
        <f>IF('Comptage Décadaire'!AG163&lt;&gt;"",VLOOKUP('Comptage Décadaire'!AG163,'Comptage Décadaire'!AG:AG,1,FALSE),"")</f>
        <v/>
      </c>
    </row>
    <row r="163" spans="1:32" x14ac:dyDescent="0.25">
      <c r="A163" s="25" t="str">
        <f>IF('Comptage Décadaire'!A164&lt;&gt;"",VLOOKUP('Comptage Décadaire'!A164,'Comptage Décadaire'!A:A,1,FALSE),"")</f>
        <v/>
      </c>
      <c r="B163" s="27" t="str">
        <f>IF('Comptage Décadaire'!B164&lt;&gt;"",VLOOKUP('Comptage Décadaire'!B164,'Comptage Décadaire'!B:B,1,FALSE),"")</f>
        <v/>
      </c>
      <c r="C163" s="28" t="str">
        <f>IF('Comptage Décadaire'!C164&lt;&gt;"",VLOOKUP('Comptage Décadaire'!C164,'Comptage Décadaire'!C:C,1,FALSE),"")</f>
        <v/>
      </c>
      <c r="D163" s="29" t="str">
        <f>IF('Comptage Décadaire'!D164&lt;&gt;"",VLOOKUP('Comptage Décadaire'!D164,Sites!$A:$B,2,FALSE),"")</f>
        <v/>
      </c>
      <c r="E163" s="29" t="str">
        <f>IF('Comptage Décadaire'!E164&lt;&gt;"",VLOOKUP('Comptage Décadaire'!E164,'Comptage Décadaire'!E:E,1,FALSE),"")</f>
        <v/>
      </c>
      <c r="F163" s="29" t="str">
        <f>IF('Comptage Décadaire'!F164&lt;&gt;"",VLOOKUP('Comptage Décadaire'!F164,Nomenclature!$B$2:$C$4,2,FALSE),"")</f>
        <v/>
      </c>
      <c r="G163" s="29" t="str">
        <f>IF('Comptage Décadaire'!G164&lt;&gt;"",VLOOKUP('Comptage Décadaire'!G164,'Comptage Décadaire'!G:G,1,FALSE),"")</f>
        <v/>
      </c>
      <c r="H163" s="29" t="str">
        <f>IF('Comptage Décadaire'!H164&lt;&gt;"",VLOOKUP('Comptage Décadaire'!H164,Nomenclature!$D$2:$E$7,2,FALSE),"")</f>
        <v/>
      </c>
      <c r="I163" s="30" t="str">
        <f>IF('Comptage Décadaire'!J164&lt;&gt;"",VLOOKUP('Comptage Décadaire'!J164,'Comptage Décadaire'!J:J,1,FALSE),"")</f>
        <v/>
      </c>
      <c r="J163" s="30" t="str">
        <f>IF('Comptage Décadaire'!K164&lt;&gt;"",VLOOKUP('Comptage Décadaire'!K164,'Comptage Décadaire'!K:K,1,FALSE),"")</f>
        <v/>
      </c>
      <c r="K163" s="30" t="str">
        <f>IF('Comptage Décadaire'!L164&lt;&gt;"",VLOOKUP('Comptage Décadaire'!L164,'Comptage Décadaire'!L:L,1,FALSE),"")</f>
        <v/>
      </c>
      <c r="L163" s="31" t="str">
        <f>IF('Comptage Décadaire'!M164&lt;&gt;"",VLOOKUP('Comptage Décadaire'!M164,'Comptage Décadaire'!M:M,1,FALSE),"")</f>
        <v/>
      </c>
      <c r="M163" s="33" t="str">
        <f>IF('Comptage Décadaire'!N164&lt;&gt;"",VLOOKUP('Comptage Décadaire'!N164,Utilisateurs!$D:$F,3,FALSE),"")</f>
        <v/>
      </c>
      <c r="N163" s="33" t="str">
        <f>IF('Comptage Décadaire'!O164&lt;&gt;"",VLOOKUP('Comptage Décadaire'!O164,Utilisateurs!$D:$F,3,FALSE),"")</f>
        <v/>
      </c>
      <c r="O163" s="33" t="str">
        <f>IF('Comptage Décadaire'!P164&lt;&gt;"",VLOOKUP('Comptage Décadaire'!P164,Utilisateurs!$D:$F,3,FALSE),"")</f>
        <v/>
      </c>
      <c r="P163" s="33" t="str">
        <f>IF('Comptage Décadaire'!Q164&lt;&gt;"",VLOOKUP('Comptage Décadaire'!Q164,Utilisateurs!$D:$F,3,FALSE),"")</f>
        <v/>
      </c>
      <c r="Q163" s="33" t="str">
        <f>IF('Comptage Décadaire'!R164&lt;&gt;"",VLOOKUP('Comptage Décadaire'!R164,Utilisateurs!$D:$F,3,FALSE),"")</f>
        <v/>
      </c>
      <c r="R163" s="30" t="str">
        <f>IF('Comptage Décadaire'!S164&lt;&gt;"",VLOOKUP('Comptage Décadaire'!S164,Nomenclature!$N:$O,2,FALSE),"")</f>
        <v/>
      </c>
      <c r="S163" s="30" t="str">
        <f>IF('Comptage Décadaire'!T164&lt;&gt;"",VLOOKUP('Comptage Décadaire'!T164,'Comptage Décadaire'!T:T,1,FALSE),"")</f>
        <v/>
      </c>
      <c r="T163" s="30" t="str">
        <f>IF('Comptage Décadaire'!U164&lt;&gt;"",VLOOKUP('Comptage Décadaire'!U164,'Comptage Décadaire'!U:U,1,FALSE),"")</f>
        <v/>
      </c>
      <c r="U163" s="30" t="str">
        <f>IF('Comptage Décadaire'!V164&lt;&gt;"",VLOOKUP('Comptage Décadaire'!V164,'Comptage Décadaire'!V:V,1,FALSE),"")</f>
        <v/>
      </c>
      <c r="V163" s="30" t="str">
        <f>IF('Comptage Décadaire'!W164&lt;&gt;"",VLOOKUP('Comptage Décadaire'!W164,'Comptage Décadaire'!W:W,1,FALSE),"")</f>
        <v/>
      </c>
      <c r="W163" s="30" t="str">
        <f>IF('Comptage Décadaire'!X164&lt;&gt;"",VLOOKUP('Comptage Décadaire'!X164,'Comptage Décadaire'!X:X,1,FALSE),"")</f>
        <v/>
      </c>
      <c r="X163" s="30" t="str">
        <f>IF('Comptage Décadaire'!Y164&lt;&gt;"",VLOOKUP('Comptage Décadaire'!Y164,'Comptage Décadaire'!Y:Y,1,FALSE),"")</f>
        <v/>
      </c>
      <c r="Y163" s="30" t="str">
        <f>IF('Comptage Décadaire'!Z164&lt;&gt;"",VLOOKUP('Comptage Décadaire'!Z164,Nomenclature!$F$2:$G$7,2,FALSE),"")</f>
        <v/>
      </c>
      <c r="Z163" s="30" t="str">
        <f>IF('Comptage Décadaire'!AA164&lt;&gt;"",VLOOKUP('Comptage Décadaire'!AA164,Nomenclature!$H$2:$I$31,2,FALSE),"")</f>
        <v/>
      </c>
      <c r="AA163" s="30" t="str">
        <f>IF('Comptage Décadaire'!AB164&lt;&gt;"",VLOOKUP('Comptage Décadaire'!AB164,Nomenclature!$J$2:$K$21,2,FALSE),"")</f>
        <v/>
      </c>
      <c r="AB163" s="30" t="str">
        <f>IF('Comptage Décadaire'!AC164&lt;&gt;"",VLOOKUP('Comptage Décadaire'!AC164,'Comptage Décadaire'!AC:AC,1,FALSE),"")</f>
        <v/>
      </c>
      <c r="AC163" s="32" t="str">
        <f>IF('Comptage Décadaire'!AD164&lt;&gt;"",VLOOKUP('Comptage Décadaire'!AD164,Nomenclature!$L$2:$M$8,2,FALSE),"")</f>
        <v/>
      </c>
      <c r="AD163" s="32" t="str">
        <f>IF('Comptage Décadaire'!AE164&lt;&gt;"",VLOOKUP('Comptage Décadaire'!AE164,Utilisateurs!$D$2:$F$81,3,FALSE),"")</f>
        <v/>
      </c>
      <c r="AE163" s="35" t="str">
        <f>IF('Comptage Décadaire'!AF164&lt;&gt;"",VLOOKUP('Comptage Décadaire'!AF164,'Comptage Décadaire'!AF:AF,1,FALSE),"")</f>
        <v/>
      </c>
      <c r="AF163" s="32" t="str">
        <f>IF('Comptage Décadaire'!AG164&lt;&gt;"",VLOOKUP('Comptage Décadaire'!AG164,'Comptage Décadaire'!AG:AG,1,FALSE),"")</f>
        <v/>
      </c>
    </row>
    <row r="164" spans="1:32" x14ac:dyDescent="0.25">
      <c r="A164" s="25" t="str">
        <f>IF('Comptage Décadaire'!A165&lt;&gt;"",VLOOKUP('Comptage Décadaire'!A165,'Comptage Décadaire'!A:A,1,FALSE),"")</f>
        <v/>
      </c>
      <c r="B164" s="27" t="str">
        <f>IF('Comptage Décadaire'!B165&lt;&gt;"",VLOOKUP('Comptage Décadaire'!B165,'Comptage Décadaire'!B:B,1,FALSE),"")</f>
        <v/>
      </c>
      <c r="C164" s="28" t="str">
        <f>IF('Comptage Décadaire'!C165&lt;&gt;"",VLOOKUP('Comptage Décadaire'!C165,'Comptage Décadaire'!C:C,1,FALSE),"")</f>
        <v/>
      </c>
      <c r="D164" s="29" t="str">
        <f>IF('Comptage Décadaire'!D165&lt;&gt;"",VLOOKUP('Comptage Décadaire'!D165,Sites!$A:$B,2,FALSE),"")</f>
        <v/>
      </c>
      <c r="E164" s="29" t="str">
        <f>IF('Comptage Décadaire'!E165&lt;&gt;"",VLOOKUP('Comptage Décadaire'!E165,'Comptage Décadaire'!E:E,1,FALSE),"")</f>
        <v/>
      </c>
      <c r="F164" s="29" t="str">
        <f>IF('Comptage Décadaire'!F165&lt;&gt;"",VLOOKUP('Comptage Décadaire'!F165,Nomenclature!$B$2:$C$4,2,FALSE),"")</f>
        <v/>
      </c>
      <c r="G164" s="29" t="str">
        <f>IF('Comptage Décadaire'!G165&lt;&gt;"",VLOOKUP('Comptage Décadaire'!G165,'Comptage Décadaire'!G:G,1,FALSE),"")</f>
        <v/>
      </c>
      <c r="H164" s="29" t="str">
        <f>IF('Comptage Décadaire'!H165&lt;&gt;"",VLOOKUP('Comptage Décadaire'!H165,Nomenclature!$D$2:$E$7,2,FALSE),"")</f>
        <v/>
      </c>
      <c r="I164" s="30" t="str">
        <f>IF('Comptage Décadaire'!J165&lt;&gt;"",VLOOKUP('Comptage Décadaire'!J165,'Comptage Décadaire'!J:J,1,FALSE),"")</f>
        <v/>
      </c>
      <c r="J164" s="30" t="str">
        <f>IF('Comptage Décadaire'!K165&lt;&gt;"",VLOOKUP('Comptage Décadaire'!K165,'Comptage Décadaire'!K:K,1,FALSE),"")</f>
        <v/>
      </c>
      <c r="K164" s="30" t="str">
        <f>IF('Comptage Décadaire'!L165&lt;&gt;"",VLOOKUP('Comptage Décadaire'!L165,'Comptage Décadaire'!L:L,1,FALSE),"")</f>
        <v/>
      </c>
      <c r="L164" s="31" t="str">
        <f>IF('Comptage Décadaire'!M165&lt;&gt;"",VLOOKUP('Comptage Décadaire'!M165,'Comptage Décadaire'!M:M,1,FALSE),"")</f>
        <v/>
      </c>
      <c r="M164" s="33" t="str">
        <f>IF('Comptage Décadaire'!N165&lt;&gt;"",VLOOKUP('Comptage Décadaire'!N165,Utilisateurs!$D:$F,3,FALSE),"")</f>
        <v/>
      </c>
      <c r="N164" s="33" t="str">
        <f>IF('Comptage Décadaire'!O165&lt;&gt;"",VLOOKUP('Comptage Décadaire'!O165,Utilisateurs!$D:$F,3,FALSE),"")</f>
        <v/>
      </c>
      <c r="O164" s="33" t="str">
        <f>IF('Comptage Décadaire'!P165&lt;&gt;"",VLOOKUP('Comptage Décadaire'!P165,Utilisateurs!$D:$F,3,FALSE),"")</f>
        <v/>
      </c>
      <c r="P164" s="33" t="str">
        <f>IF('Comptage Décadaire'!Q165&lt;&gt;"",VLOOKUP('Comptage Décadaire'!Q165,Utilisateurs!$D:$F,3,FALSE),"")</f>
        <v/>
      </c>
      <c r="Q164" s="33" t="str">
        <f>IF('Comptage Décadaire'!R165&lt;&gt;"",VLOOKUP('Comptage Décadaire'!R165,Utilisateurs!$D:$F,3,FALSE),"")</f>
        <v/>
      </c>
      <c r="R164" s="30" t="str">
        <f>IF('Comptage Décadaire'!S165&lt;&gt;"",VLOOKUP('Comptage Décadaire'!S165,Nomenclature!$N:$O,2,FALSE),"")</f>
        <v/>
      </c>
      <c r="S164" s="30" t="str">
        <f>IF('Comptage Décadaire'!T165&lt;&gt;"",VLOOKUP('Comptage Décadaire'!T165,'Comptage Décadaire'!T:T,1,FALSE),"")</f>
        <v/>
      </c>
      <c r="T164" s="30" t="str">
        <f>IF('Comptage Décadaire'!U165&lt;&gt;"",VLOOKUP('Comptage Décadaire'!U165,'Comptage Décadaire'!U:U,1,FALSE),"")</f>
        <v/>
      </c>
      <c r="U164" s="30" t="str">
        <f>IF('Comptage Décadaire'!V165&lt;&gt;"",VLOOKUP('Comptage Décadaire'!V165,'Comptage Décadaire'!V:V,1,FALSE),"")</f>
        <v/>
      </c>
      <c r="V164" s="30" t="str">
        <f>IF('Comptage Décadaire'!W165&lt;&gt;"",VLOOKUP('Comptage Décadaire'!W165,'Comptage Décadaire'!W:W,1,FALSE),"")</f>
        <v/>
      </c>
      <c r="W164" s="30" t="str">
        <f>IF('Comptage Décadaire'!X165&lt;&gt;"",VLOOKUP('Comptage Décadaire'!X165,'Comptage Décadaire'!X:X,1,FALSE),"")</f>
        <v/>
      </c>
      <c r="X164" s="30" t="str">
        <f>IF('Comptage Décadaire'!Y165&lt;&gt;"",VLOOKUP('Comptage Décadaire'!Y165,'Comptage Décadaire'!Y:Y,1,FALSE),"")</f>
        <v/>
      </c>
      <c r="Y164" s="30" t="str">
        <f>IF('Comptage Décadaire'!Z165&lt;&gt;"",VLOOKUP('Comptage Décadaire'!Z165,Nomenclature!$F$2:$G$7,2,FALSE),"")</f>
        <v/>
      </c>
      <c r="Z164" s="30" t="str">
        <f>IF('Comptage Décadaire'!AA165&lt;&gt;"",VLOOKUP('Comptage Décadaire'!AA165,Nomenclature!$H$2:$I$31,2,FALSE),"")</f>
        <v/>
      </c>
      <c r="AA164" s="30" t="str">
        <f>IF('Comptage Décadaire'!AB165&lt;&gt;"",VLOOKUP('Comptage Décadaire'!AB165,Nomenclature!$J$2:$K$21,2,FALSE),"")</f>
        <v/>
      </c>
      <c r="AB164" s="30" t="str">
        <f>IF('Comptage Décadaire'!AC165&lt;&gt;"",VLOOKUP('Comptage Décadaire'!AC165,'Comptage Décadaire'!AC:AC,1,FALSE),"")</f>
        <v/>
      </c>
      <c r="AC164" s="32" t="str">
        <f>IF('Comptage Décadaire'!AD165&lt;&gt;"",VLOOKUP('Comptage Décadaire'!AD165,Nomenclature!$L$2:$M$8,2,FALSE),"")</f>
        <v/>
      </c>
      <c r="AD164" s="32" t="str">
        <f>IF('Comptage Décadaire'!AE165&lt;&gt;"",VLOOKUP('Comptage Décadaire'!AE165,Utilisateurs!$D$2:$F$81,3,FALSE),"")</f>
        <v/>
      </c>
      <c r="AE164" s="35" t="str">
        <f>IF('Comptage Décadaire'!AF165&lt;&gt;"",VLOOKUP('Comptage Décadaire'!AF165,'Comptage Décadaire'!AF:AF,1,FALSE),"")</f>
        <v/>
      </c>
      <c r="AF164" s="32" t="str">
        <f>IF('Comptage Décadaire'!AG165&lt;&gt;"",VLOOKUP('Comptage Décadaire'!AG165,'Comptage Décadaire'!AG:AG,1,FALSE),"")</f>
        <v/>
      </c>
    </row>
    <row r="165" spans="1:32" x14ac:dyDescent="0.25">
      <c r="A165" s="25" t="str">
        <f>IF('Comptage Décadaire'!A166&lt;&gt;"",VLOOKUP('Comptage Décadaire'!A166,'Comptage Décadaire'!A:A,1,FALSE),"")</f>
        <v/>
      </c>
      <c r="B165" s="27" t="str">
        <f>IF('Comptage Décadaire'!B166&lt;&gt;"",VLOOKUP('Comptage Décadaire'!B166,'Comptage Décadaire'!B:B,1,FALSE),"")</f>
        <v/>
      </c>
      <c r="C165" s="28" t="str">
        <f>IF('Comptage Décadaire'!C166&lt;&gt;"",VLOOKUP('Comptage Décadaire'!C166,'Comptage Décadaire'!C:C,1,FALSE),"")</f>
        <v/>
      </c>
      <c r="D165" s="29" t="str">
        <f>IF('Comptage Décadaire'!D166&lt;&gt;"",VLOOKUP('Comptage Décadaire'!D166,Sites!$A:$B,2,FALSE),"")</f>
        <v/>
      </c>
      <c r="E165" s="29" t="str">
        <f>IF('Comptage Décadaire'!E166&lt;&gt;"",VLOOKUP('Comptage Décadaire'!E166,'Comptage Décadaire'!E:E,1,FALSE),"")</f>
        <v/>
      </c>
      <c r="F165" s="29" t="str">
        <f>IF('Comptage Décadaire'!F166&lt;&gt;"",VLOOKUP('Comptage Décadaire'!F166,Nomenclature!$B$2:$C$4,2,FALSE),"")</f>
        <v/>
      </c>
      <c r="G165" s="29" t="str">
        <f>IF('Comptage Décadaire'!G166&lt;&gt;"",VLOOKUP('Comptage Décadaire'!G166,'Comptage Décadaire'!G:G,1,FALSE),"")</f>
        <v/>
      </c>
      <c r="H165" s="29" t="str">
        <f>IF('Comptage Décadaire'!H166&lt;&gt;"",VLOOKUP('Comptage Décadaire'!H166,Nomenclature!$D$2:$E$7,2,FALSE),"")</f>
        <v/>
      </c>
      <c r="I165" s="30" t="str">
        <f>IF('Comptage Décadaire'!J166&lt;&gt;"",VLOOKUP('Comptage Décadaire'!J166,'Comptage Décadaire'!J:J,1,FALSE),"")</f>
        <v/>
      </c>
      <c r="J165" s="30" t="str">
        <f>IF('Comptage Décadaire'!K166&lt;&gt;"",VLOOKUP('Comptage Décadaire'!K166,'Comptage Décadaire'!K:K,1,FALSE),"")</f>
        <v/>
      </c>
      <c r="K165" s="30" t="str">
        <f>IF('Comptage Décadaire'!L166&lt;&gt;"",VLOOKUP('Comptage Décadaire'!L166,'Comptage Décadaire'!L:L,1,FALSE),"")</f>
        <v/>
      </c>
      <c r="L165" s="31" t="str">
        <f>IF('Comptage Décadaire'!M166&lt;&gt;"",VLOOKUP('Comptage Décadaire'!M166,'Comptage Décadaire'!M:M,1,FALSE),"")</f>
        <v/>
      </c>
      <c r="M165" s="33" t="str">
        <f>IF('Comptage Décadaire'!N166&lt;&gt;"",VLOOKUP('Comptage Décadaire'!N166,Utilisateurs!$D:$F,3,FALSE),"")</f>
        <v/>
      </c>
      <c r="N165" s="33" t="str">
        <f>IF('Comptage Décadaire'!O166&lt;&gt;"",VLOOKUP('Comptage Décadaire'!O166,Utilisateurs!$D:$F,3,FALSE),"")</f>
        <v/>
      </c>
      <c r="O165" s="33" t="str">
        <f>IF('Comptage Décadaire'!P166&lt;&gt;"",VLOOKUP('Comptage Décadaire'!P166,Utilisateurs!$D:$F,3,FALSE),"")</f>
        <v/>
      </c>
      <c r="P165" s="33" t="str">
        <f>IF('Comptage Décadaire'!Q166&lt;&gt;"",VLOOKUP('Comptage Décadaire'!Q166,Utilisateurs!$D:$F,3,FALSE),"")</f>
        <v/>
      </c>
      <c r="Q165" s="33" t="str">
        <f>IF('Comptage Décadaire'!R166&lt;&gt;"",VLOOKUP('Comptage Décadaire'!R166,Utilisateurs!$D:$F,3,FALSE),"")</f>
        <v/>
      </c>
      <c r="R165" s="30" t="str">
        <f>IF('Comptage Décadaire'!S166&lt;&gt;"",VLOOKUP('Comptage Décadaire'!S166,Nomenclature!$N:$O,2,FALSE),"")</f>
        <v/>
      </c>
      <c r="S165" s="30" t="str">
        <f>IF('Comptage Décadaire'!T166&lt;&gt;"",VLOOKUP('Comptage Décadaire'!T166,'Comptage Décadaire'!T:T,1,FALSE),"")</f>
        <v/>
      </c>
      <c r="T165" s="30" t="str">
        <f>IF('Comptage Décadaire'!U166&lt;&gt;"",VLOOKUP('Comptage Décadaire'!U166,'Comptage Décadaire'!U:U,1,FALSE),"")</f>
        <v/>
      </c>
      <c r="U165" s="30" t="str">
        <f>IF('Comptage Décadaire'!V166&lt;&gt;"",VLOOKUP('Comptage Décadaire'!V166,'Comptage Décadaire'!V:V,1,FALSE),"")</f>
        <v/>
      </c>
      <c r="V165" s="30" t="str">
        <f>IF('Comptage Décadaire'!W166&lt;&gt;"",VLOOKUP('Comptage Décadaire'!W166,'Comptage Décadaire'!W:W,1,FALSE),"")</f>
        <v/>
      </c>
      <c r="W165" s="30" t="str">
        <f>IF('Comptage Décadaire'!X166&lt;&gt;"",VLOOKUP('Comptage Décadaire'!X166,'Comptage Décadaire'!X:X,1,FALSE),"")</f>
        <v/>
      </c>
      <c r="X165" s="30" t="str">
        <f>IF('Comptage Décadaire'!Y166&lt;&gt;"",VLOOKUP('Comptage Décadaire'!Y166,'Comptage Décadaire'!Y:Y,1,FALSE),"")</f>
        <v/>
      </c>
      <c r="Y165" s="30" t="str">
        <f>IF('Comptage Décadaire'!Z166&lt;&gt;"",VLOOKUP('Comptage Décadaire'!Z166,Nomenclature!$F$2:$G$7,2,FALSE),"")</f>
        <v/>
      </c>
      <c r="Z165" s="30" t="str">
        <f>IF('Comptage Décadaire'!AA166&lt;&gt;"",VLOOKUP('Comptage Décadaire'!AA166,Nomenclature!$H$2:$I$31,2,FALSE),"")</f>
        <v/>
      </c>
      <c r="AA165" s="30" t="str">
        <f>IF('Comptage Décadaire'!AB166&lt;&gt;"",VLOOKUP('Comptage Décadaire'!AB166,Nomenclature!$J$2:$K$21,2,FALSE),"")</f>
        <v/>
      </c>
      <c r="AB165" s="30" t="str">
        <f>IF('Comptage Décadaire'!AC166&lt;&gt;"",VLOOKUP('Comptage Décadaire'!AC166,'Comptage Décadaire'!AC:AC,1,FALSE),"")</f>
        <v/>
      </c>
      <c r="AC165" s="32" t="str">
        <f>IF('Comptage Décadaire'!AD166&lt;&gt;"",VLOOKUP('Comptage Décadaire'!AD166,Nomenclature!$L$2:$M$8,2,FALSE),"")</f>
        <v/>
      </c>
      <c r="AD165" s="32" t="str">
        <f>IF('Comptage Décadaire'!AE166&lt;&gt;"",VLOOKUP('Comptage Décadaire'!AE166,Utilisateurs!$D$2:$F$81,3,FALSE),"")</f>
        <v/>
      </c>
      <c r="AE165" s="35" t="str">
        <f>IF('Comptage Décadaire'!AF166&lt;&gt;"",VLOOKUP('Comptage Décadaire'!AF166,'Comptage Décadaire'!AF:AF,1,FALSE),"")</f>
        <v/>
      </c>
      <c r="AF165" s="32" t="str">
        <f>IF('Comptage Décadaire'!AG166&lt;&gt;"",VLOOKUP('Comptage Décadaire'!AG166,'Comptage Décadaire'!AG:AG,1,FALSE),"")</f>
        <v/>
      </c>
    </row>
    <row r="166" spans="1:32" x14ac:dyDescent="0.25">
      <c r="A166" s="25" t="str">
        <f>IF('Comptage Décadaire'!A167&lt;&gt;"",VLOOKUP('Comptage Décadaire'!A167,'Comptage Décadaire'!A:A,1,FALSE),"")</f>
        <v/>
      </c>
      <c r="B166" s="27" t="str">
        <f>IF('Comptage Décadaire'!B167&lt;&gt;"",VLOOKUP('Comptage Décadaire'!B167,'Comptage Décadaire'!B:B,1,FALSE),"")</f>
        <v/>
      </c>
      <c r="C166" s="28" t="str">
        <f>IF('Comptage Décadaire'!C167&lt;&gt;"",VLOOKUP('Comptage Décadaire'!C167,'Comptage Décadaire'!C:C,1,FALSE),"")</f>
        <v/>
      </c>
      <c r="D166" s="29" t="str">
        <f>IF('Comptage Décadaire'!D167&lt;&gt;"",VLOOKUP('Comptage Décadaire'!D167,Sites!$A:$B,2,FALSE),"")</f>
        <v/>
      </c>
      <c r="E166" s="29" t="str">
        <f>IF('Comptage Décadaire'!E167&lt;&gt;"",VLOOKUP('Comptage Décadaire'!E167,'Comptage Décadaire'!E:E,1,FALSE),"")</f>
        <v/>
      </c>
      <c r="F166" s="29" t="str">
        <f>IF('Comptage Décadaire'!F167&lt;&gt;"",VLOOKUP('Comptage Décadaire'!F167,Nomenclature!$B$2:$C$4,2,FALSE),"")</f>
        <v/>
      </c>
      <c r="G166" s="29" t="str">
        <f>IF('Comptage Décadaire'!G167&lt;&gt;"",VLOOKUP('Comptage Décadaire'!G167,'Comptage Décadaire'!G:G,1,FALSE),"")</f>
        <v/>
      </c>
      <c r="H166" s="29" t="str">
        <f>IF('Comptage Décadaire'!H167&lt;&gt;"",VLOOKUP('Comptage Décadaire'!H167,Nomenclature!$D$2:$E$7,2,FALSE),"")</f>
        <v/>
      </c>
      <c r="I166" s="30" t="str">
        <f>IF('Comptage Décadaire'!J167&lt;&gt;"",VLOOKUP('Comptage Décadaire'!J167,'Comptage Décadaire'!J:J,1,FALSE),"")</f>
        <v/>
      </c>
      <c r="J166" s="30" t="str">
        <f>IF('Comptage Décadaire'!K167&lt;&gt;"",VLOOKUP('Comptage Décadaire'!K167,'Comptage Décadaire'!K:K,1,FALSE),"")</f>
        <v/>
      </c>
      <c r="K166" s="30" t="str">
        <f>IF('Comptage Décadaire'!L167&lt;&gt;"",VLOOKUP('Comptage Décadaire'!L167,'Comptage Décadaire'!L:L,1,FALSE),"")</f>
        <v/>
      </c>
      <c r="L166" s="31" t="str">
        <f>IF('Comptage Décadaire'!M167&lt;&gt;"",VLOOKUP('Comptage Décadaire'!M167,'Comptage Décadaire'!M:M,1,FALSE),"")</f>
        <v/>
      </c>
      <c r="M166" s="33" t="str">
        <f>IF('Comptage Décadaire'!N167&lt;&gt;"",VLOOKUP('Comptage Décadaire'!N167,Utilisateurs!$D:$F,3,FALSE),"")</f>
        <v/>
      </c>
      <c r="N166" s="33" t="str">
        <f>IF('Comptage Décadaire'!O167&lt;&gt;"",VLOOKUP('Comptage Décadaire'!O167,Utilisateurs!$D:$F,3,FALSE),"")</f>
        <v/>
      </c>
      <c r="O166" s="33" t="str">
        <f>IF('Comptage Décadaire'!P167&lt;&gt;"",VLOOKUP('Comptage Décadaire'!P167,Utilisateurs!$D:$F,3,FALSE),"")</f>
        <v/>
      </c>
      <c r="P166" s="33" t="str">
        <f>IF('Comptage Décadaire'!Q167&lt;&gt;"",VLOOKUP('Comptage Décadaire'!Q167,Utilisateurs!$D:$F,3,FALSE),"")</f>
        <v/>
      </c>
      <c r="Q166" s="33" t="str">
        <f>IF('Comptage Décadaire'!R167&lt;&gt;"",VLOOKUP('Comptage Décadaire'!R167,Utilisateurs!$D:$F,3,FALSE),"")</f>
        <v/>
      </c>
      <c r="R166" s="30" t="str">
        <f>IF('Comptage Décadaire'!S167&lt;&gt;"",VLOOKUP('Comptage Décadaire'!S167,Nomenclature!$N:$O,2,FALSE),"")</f>
        <v/>
      </c>
      <c r="S166" s="30" t="str">
        <f>IF('Comptage Décadaire'!T167&lt;&gt;"",VLOOKUP('Comptage Décadaire'!T167,'Comptage Décadaire'!T:T,1,FALSE),"")</f>
        <v/>
      </c>
      <c r="T166" s="30" t="str">
        <f>IF('Comptage Décadaire'!U167&lt;&gt;"",VLOOKUP('Comptage Décadaire'!U167,'Comptage Décadaire'!U:U,1,FALSE),"")</f>
        <v/>
      </c>
      <c r="U166" s="30" t="str">
        <f>IF('Comptage Décadaire'!V167&lt;&gt;"",VLOOKUP('Comptage Décadaire'!V167,'Comptage Décadaire'!V:V,1,FALSE),"")</f>
        <v/>
      </c>
      <c r="V166" s="30" t="str">
        <f>IF('Comptage Décadaire'!W167&lt;&gt;"",VLOOKUP('Comptage Décadaire'!W167,'Comptage Décadaire'!W:W,1,FALSE),"")</f>
        <v/>
      </c>
      <c r="W166" s="30" t="str">
        <f>IF('Comptage Décadaire'!X167&lt;&gt;"",VLOOKUP('Comptage Décadaire'!X167,'Comptage Décadaire'!X:X,1,FALSE),"")</f>
        <v/>
      </c>
      <c r="X166" s="30" t="str">
        <f>IF('Comptage Décadaire'!Y167&lt;&gt;"",VLOOKUP('Comptage Décadaire'!Y167,'Comptage Décadaire'!Y:Y,1,FALSE),"")</f>
        <v/>
      </c>
      <c r="Y166" s="30" t="str">
        <f>IF('Comptage Décadaire'!Z167&lt;&gt;"",VLOOKUP('Comptage Décadaire'!Z167,Nomenclature!$F$2:$G$7,2,FALSE),"")</f>
        <v/>
      </c>
      <c r="Z166" s="30" t="str">
        <f>IF('Comptage Décadaire'!AA167&lt;&gt;"",VLOOKUP('Comptage Décadaire'!AA167,Nomenclature!$H$2:$I$31,2,FALSE),"")</f>
        <v/>
      </c>
      <c r="AA166" s="30" t="str">
        <f>IF('Comptage Décadaire'!AB167&lt;&gt;"",VLOOKUP('Comptage Décadaire'!AB167,Nomenclature!$J$2:$K$21,2,FALSE),"")</f>
        <v/>
      </c>
      <c r="AB166" s="30" t="str">
        <f>IF('Comptage Décadaire'!AC167&lt;&gt;"",VLOOKUP('Comptage Décadaire'!AC167,'Comptage Décadaire'!AC:AC,1,FALSE),"")</f>
        <v/>
      </c>
      <c r="AC166" s="32" t="str">
        <f>IF('Comptage Décadaire'!AD167&lt;&gt;"",VLOOKUP('Comptage Décadaire'!AD167,Nomenclature!$L$2:$M$8,2,FALSE),"")</f>
        <v/>
      </c>
      <c r="AD166" s="32" t="str">
        <f>IF('Comptage Décadaire'!AE167&lt;&gt;"",VLOOKUP('Comptage Décadaire'!AE167,Utilisateurs!$D$2:$F$81,3,FALSE),"")</f>
        <v/>
      </c>
      <c r="AE166" s="35" t="str">
        <f>IF('Comptage Décadaire'!AF167&lt;&gt;"",VLOOKUP('Comptage Décadaire'!AF167,'Comptage Décadaire'!AF:AF,1,FALSE),"")</f>
        <v/>
      </c>
      <c r="AF166" s="32" t="str">
        <f>IF('Comptage Décadaire'!AG167&lt;&gt;"",VLOOKUP('Comptage Décadaire'!AG167,'Comptage Décadaire'!AG:AG,1,FALSE),"")</f>
        <v/>
      </c>
    </row>
    <row r="167" spans="1:32" x14ac:dyDescent="0.25">
      <c r="A167" s="25" t="str">
        <f>IF('Comptage Décadaire'!A168&lt;&gt;"",VLOOKUP('Comptage Décadaire'!A168,'Comptage Décadaire'!A:A,1,FALSE),"")</f>
        <v/>
      </c>
      <c r="B167" s="27" t="str">
        <f>IF('Comptage Décadaire'!B168&lt;&gt;"",VLOOKUP('Comptage Décadaire'!B168,'Comptage Décadaire'!B:B,1,FALSE),"")</f>
        <v/>
      </c>
      <c r="C167" s="28" t="str">
        <f>IF('Comptage Décadaire'!C168&lt;&gt;"",VLOOKUP('Comptage Décadaire'!C168,'Comptage Décadaire'!C:C,1,FALSE),"")</f>
        <v/>
      </c>
      <c r="D167" s="29" t="str">
        <f>IF('Comptage Décadaire'!D168&lt;&gt;"",VLOOKUP('Comptage Décadaire'!D168,Sites!$A:$B,2,FALSE),"")</f>
        <v/>
      </c>
      <c r="E167" s="29" t="str">
        <f>IF('Comptage Décadaire'!E168&lt;&gt;"",VLOOKUP('Comptage Décadaire'!E168,'Comptage Décadaire'!E:E,1,FALSE),"")</f>
        <v/>
      </c>
      <c r="F167" s="29" t="str">
        <f>IF('Comptage Décadaire'!F168&lt;&gt;"",VLOOKUP('Comptage Décadaire'!F168,Nomenclature!$B$2:$C$4,2,FALSE),"")</f>
        <v/>
      </c>
      <c r="G167" s="29" t="str">
        <f>IF('Comptage Décadaire'!G168&lt;&gt;"",VLOOKUP('Comptage Décadaire'!G168,'Comptage Décadaire'!G:G,1,FALSE),"")</f>
        <v/>
      </c>
      <c r="H167" s="29" t="str">
        <f>IF('Comptage Décadaire'!H168&lt;&gt;"",VLOOKUP('Comptage Décadaire'!H168,Nomenclature!$D$2:$E$7,2,FALSE),"")</f>
        <v/>
      </c>
      <c r="I167" s="30" t="str">
        <f>IF('Comptage Décadaire'!J168&lt;&gt;"",VLOOKUP('Comptage Décadaire'!J168,'Comptage Décadaire'!J:J,1,FALSE),"")</f>
        <v/>
      </c>
      <c r="J167" s="30" t="str">
        <f>IF('Comptage Décadaire'!K168&lt;&gt;"",VLOOKUP('Comptage Décadaire'!K168,'Comptage Décadaire'!K:K,1,FALSE),"")</f>
        <v/>
      </c>
      <c r="K167" s="30" t="str">
        <f>IF('Comptage Décadaire'!L168&lt;&gt;"",VLOOKUP('Comptage Décadaire'!L168,'Comptage Décadaire'!L:L,1,FALSE),"")</f>
        <v/>
      </c>
      <c r="L167" s="31" t="str">
        <f>IF('Comptage Décadaire'!M168&lt;&gt;"",VLOOKUP('Comptage Décadaire'!M168,'Comptage Décadaire'!M:M,1,FALSE),"")</f>
        <v/>
      </c>
      <c r="M167" s="33" t="str">
        <f>IF('Comptage Décadaire'!N168&lt;&gt;"",VLOOKUP('Comptage Décadaire'!N168,Utilisateurs!$D:$F,3,FALSE),"")</f>
        <v/>
      </c>
      <c r="N167" s="33" t="str">
        <f>IF('Comptage Décadaire'!O168&lt;&gt;"",VLOOKUP('Comptage Décadaire'!O168,Utilisateurs!$D:$F,3,FALSE),"")</f>
        <v/>
      </c>
      <c r="O167" s="33" t="str">
        <f>IF('Comptage Décadaire'!P168&lt;&gt;"",VLOOKUP('Comptage Décadaire'!P168,Utilisateurs!$D:$F,3,FALSE),"")</f>
        <v/>
      </c>
      <c r="P167" s="33" t="str">
        <f>IF('Comptage Décadaire'!Q168&lt;&gt;"",VLOOKUP('Comptage Décadaire'!Q168,Utilisateurs!$D:$F,3,FALSE),"")</f>
        <v/>
      </c>
      <c r="Q167" s="33" t="str">
        <f>IF('Comptage Décadaire'!R168&lt;&gt;"",VLOOKUP('Comptage Décadaire'!R168,Utilisateurs!$D:$F,3,FALSE),"")</f>
        <v/>
      </c>
      <c r="R167" s="30" t="str">
        <f>IF('Comptage Décadaire'!S168&lt;&gt;"",VLOOKUP('Comptage Décadaire'!S168,Nomenclature!$N:$O,2,FALSE),"")</f>
        <v/>
      </c>
      <c r="S167" s="30" t="str">
        <f>IF('Comptage Décadaire'!T168&lt;&gt;"",VLOOKUP('Comptage Décadaire'!T168,'Comptage Décadaire'!T:T,1,FALSE),"")</f>
        <v/>
      </c>
      <c r="T167" s="30" t="str">
        <f>IF('Comptage Décadaire'!U168&lt;&gt;"",VLOOKUP('Comptage Décadaire'!U168,'Comptage Décadaire'!U:U,1,FALSE),"")</f>
        <v/>
      </c>
      <c r="U167" s="30" t="str">
        <f>IF('Comptage Décadaire'!V168&lt;&gt;"",VLOOKUP('Comptage Décadaire'!V168,'Comptage Décadaire'!V:V,1,FALSE),"")</f>
        <v/>
      </c>
      <c r="V167" s="30" t="str">
        <f>IF('Comptage Décadaire'!W168&lt;&gt;"",VLOOKUP('Comptage Décadaire'!W168,'Comptage Décadaire'!W:W,1,FALSE),"")</f>
        <v/>
      </c>
      <c r="W167" s="30" t="str">
        <f>IF('Comptage Décadaire'!X168&lt;&gt;"",VLOOKUP('Comptage Décadaire'!X168,'Comptage Décadaire'!X:X,1,FALSE),"")</f>
        <v/>
      </c>
      <c r="X167" s="30" t="str">
        <f>IF('Comptage Décadaire'!Y168&lt;&gt;"",VLOOKUP('Comptage Décadaire'!Y168,'Comptage Décadaire'!Y:Y,1,FALSE),"")</f>
        <v/>
      </c>
      <c r="Y167" s="30" t="str">
        <f>IF('Comptage Décadaire'!Z168&lt;&gt;"",VLOOKUP('Comptage Décadaire'!Z168,Nomenclature!$F$2:$G$7,2,FALSE),"")</f>
        <v/>
      </c>
      <c r="Z167" s="30" t="str">
        <f>IF('Comptage Décadaire'!AA168&lt;&gt;"",VLOOKUP('Comptage Décadaire'!AA168,Nomenclature!$H$2:$I$31,2,FALSE),"")</f>
        <v/>
      </c>
      <c r="AA167" s="30" t="str">
        <f>IF('Comptage Décadaire'!AB168&lt;&gt;"",VLOOKUP('Comptage Décadaire'!AB168,Nomenclature!$J$2:$K$21,2,FALSE),"")</f>
        <v/>
      </c>
      <c r="AB167" s="30" t="str">
        <f>IF('Comptage Décadaire'!AC168&lt;&gt;"",VLOOKUP('Comptage Décadaire'!AC168,'Comptage Décadaire'!AC:AC,1,FALSE),"")</f>
        <v/>
      </c>
      <c r="AC167" s="32" t="str">
        <f>IF('Comptage Décadaire'!AD168&lt;&gt;"",VLOOKUP('Comptage Décadaire'!AD168,Nomenclature!$L$2:$M$8,2,FALSE),"")</f>
        <v/>
      </c>
      <c r="AD167" s="32" t="str">
        <f>IF('Comptage Décadaire'!AE168&lt;&gt;"",VLOOKUP('Comptage Décadaire'!AE168,Utilisateurs!$D$2:$F$81,3,FALSE),"")</f>
        <v/>
      </c>
      <c r="AE167" s="35" t="str">
        <f>IF('Comptage Décadaire'!AF168&lt;&gt;"",VLOOKUP('Comptage Décadaire'!AF168,'Comptage Décadaire'!AF:AF,1,FALSE),"")</f>
        <v/>
      </c>
      <c r="AF167" s="32" t="str">
        <f>IF('Comptage Décadaire'!AG168&lt;&gt;"",VLOOKUP('Comptage Décadaire'!AG168,'Comptage Décadaire'!AG:AG,1,FALSE),"")</f>
        <v/>
      </c>
    </row>
    <row r="168" spans="1:32" x14ac:dyDescent="0.25">
      <c r="A168" s="25" t="str">
        <f>IF('Comptage Décadaire'!A169&lt;&gt;"",VLOOKUP('Comptage Décadaire'!A169,'Comptage Décadaire'!A:A,1,FALSE),"")</f>
        <v/>
      </c>
      <c r="B168" s="27" t="str">
        <f>IF('Comptage Décadaire'!B169&lt;&gt;"",VLOOKUP('Comptage Décadaire'!B169,'Comptage Décadaire'!B:B,1,FALSE),"")</f>
        <v/>
      </c>
      <c r="C168" s="28" t="str">
        <f>IF('Comptage Décadaire'!C169&lt;&gt;"",VLOOKUP('Comptage Décadaire'!C169,'Comptage Décadaire'!C:C,1,FALSE),"")</f>
        <v/>
      </c>
      <c r="D168" s="29" t="str">
        <f>IF('Comptage Décadaire'!D169&lt;&gt;"",VLOOKUP('Comptage Décadaire'!D169,Sites!$A:$B,2,FALSE),"")</f>
        <v/>
      </c>
      <c r="E168" s="29" t="str">
        <f>IF('Comptage Décadaire'!E169&lt;&gt;"",VLOOKUP('Comptage Décadaire'!E169,'Comptage Décadaire'!E:E,1,FALSE),"")</f>
        <v/>
      </c>
      <c r="F168" s="29" t="str">
        <f>IF('Comptage Décadaire'!F169&lt;&gt;"",VLOOKUP('Comptage Décadaire'!F169,Nomenclature!$B$2:$C$4,2,FALSE),"")</f>
        <v/>
      </c>
      <c r="G168" s="29" t="str">
        <f>IF('Comptage Décadaire'!G169&lt;&gt;"",VLOOKUP('Comptage Décadaire'!G169,'Comptage Décadaire'!G:G,1,FALSE),"")</f>
        <v/>
      </c>
      <c r="H168" s="29" t="str">
        <f>IF('Comptage Décadaire'!H169&lt;&gt;"",VLOOKUP('Comptage Décadaire'!H169,Nomenclature!$D$2:$E$7,2,FALSE),"")</f>
        <v/>
      </c>
      <c r="I168" s="30" t="str">
        <f>IF('Comptage Décadaire'!J169&lt;&gt;"",VLOOKUP('Comptage Décadaire'!J169,'Comptage Décadaire'!J:J,1,FALSE),"")</f>
        <v/>
      </c>
      <c r="J168" s="30" t="str">
        <f>IF('Comptage Décadaire'!K169&lt;&gt;"",VLOOKUP('Comptage Décadaire'!K169,'Comptage Décadaire'!K:K,1,FALSE),"")</f>
        <v/>
      </c>
      <c r="K168" s="30" t="str">
        <f>IF('Comptage Décadaire'!L169&lt;&gt;"",VLOOKUP('Comptage Décadaire'!L169,'Comptage Décadaire'!L:L,1,FALSE),"")</f>
        <v/>
      </c>
      <c r="L168" s="31" t="str">
        <f>IF('Comptage Décadaire'!M169&lt;&gt;"",VLOOKUP('Comptage Décadaire'!M169,'Comptage Décadaire'!M:M,1,FALSE),"")</f>
        <v/>
      </c>
      <c r="M168" s="33" t="str">
        <f>IF('Comptage Décadaire'!N169&lt;&gt;"",VLOOKUP('Comptage Décadaire'!N169,Utilisateurs!$D:$F,3,FALSE),"")</f>
        <v/>
      </c>
      <c r="N168" s="33" t="str">
        <f>IF('Comptage Décadaire'!O169&lt;&gt;"",VLOOKUP('Comptage Décadaire'!O169,Utilisateurs!$D:$F,3,FALSE),"")</f>
        <v/>
      </c>
      <c r="O168" s="33" t="str">
        <f>IF('Comptage Décadaire'!P169&lt;&gt;"",VLOOKUP('Comptage Décadaire'!P169,Utilisateurs!$D:$F,3,FALSE),"")</f>
        <v/>
      </c>
      <c r="P168" s="33" t="str">
        <f>IF('Comptage Décadaire'!Q169&lt;&gt;"",VLOOKUP('Comptage Décadaire'!Q169,Utilisateurs!$D:$F,3,FALSE),"")</f>
        <v/>
      </c>
      <c r="Q168" s="33" t="str">
        <f>IF('Comptage Décadaire'!R169&lt;&gt;"",VLOOKUP('Comptage Décadaire'!R169,Utilisateurs!$D:$F,3,FALSE),"")</f>
        <v/>
      </c>
      <c r="R168" s="30" t="str">
        <f>IF('Comptage Décadaire'!S169&lt;&gt;"",VLOOKUP('Comptage Décadaire'!S169,Nomenclature!$N:$O,2,FALSE),"")</f>
        <v/>
      </c>
      <c r="S168" s="30" t="str">
        <f>IF('Comptage Décadaire'!T169&lt;&gt;"",VLOOKUP('Comptage Décadaire'!T169,'Comptage Décadaire'!T:T,1,FALSE),"")</f>
        <v/>
      </c>
      <c r="T168" s="30" t="str">
        <f>IF('Comptage Décadaire'!U169&lt;&gt;"",VLOOKUP('Comptage Décadaire'!U169,'Comptage Décadaire'!U:U,1,FALSE),"")</f>
        <v/>
      </c>
      <c r="U168" s="30" t="str">
        <f>IF('Comptage Décadaire'!V169&lt;&gt;"",VLOOKUP('Comptage Décadaire'!V169,'Comptage Décadaire'!V:V,1,FALSE),"")</f>
        <v/>
      </c>
      <c r="V168" s="30" t="str">
        <f>IF('Comptage Décadaire'!W169&lt;&gt;"",VLOOKUP('Comptage Décadaire'!W169,'Comptage Décadaire'!W:W,1,FALSE),"")</f>
        <v/>
      </c>
      <c r="W168" s="30" t="str">
        <f>IF('Comptage Décadaire'!X169&lt;&gt;"",VLOOKUP('Comptage Décadaire'!X169,'Comptage Décadaire'!X:X,1,FALSE),"")</f>
        <v/>
      </c>
      <c r="X168" s="30" t="str">
        <f>IF('Comptage Décadaire'!Y169&lt;&gt;"",VLOOKUP('Comptage Décadaire'!Y169,'Comptage Décadaire'!Y:Y,1,FALSE),"")</f>
        <v/>
      </c>
      <c r="Y168" s="30" t="str">
        <f>IF('Comptage Décadaire'!Z169&lt;&gt;"",VLOOKUP('Comptage Décadaire'!Z169,Nomenclature!$F$2:$G$7,2,FALSE),"")</f>
        <v/>
      </c>
      <c r="Z168" s="30" t="str">
        <f>IF('Comptage Décadaire'!AA169&lt;&gt;"",VLOOKUP('Comptage Décadaire'!AA169,Nomenclature!$H$2:$I$31,2,FALSE),"")</f>
        <v/>
      </c>
      <c r="AA168" s="30" t="str">
        <f>IF('Comptage Décadaire'!AB169&lt;&gt;"",VLOOKUP('Comptage Décadaire'!AB169,Nomenclature!$J$2:$K$21,2,FALSE),"")</f>
        <v/>
      </c>
      <c r="AB168" s="30" t="str">
        <f>IF('Comptage Décadaire'!AC169&lt;&gt;"",VLOOKUP('Comptage Décadaire'!AC169,'Comptage Décadaire'!AC:AC,1,FALSE),"")</f>
        <v/>
      </c>
      <c r="AC168" s="32" t="str">
        <f>IF('Comptage Décadaire'!AD169&lt;&gt;"",VLOOKUP('Comptage Décadaire'!AD169,Nomenclature!$L$2:$M$8,2,FALSE),"")</f>
        <v/>
      </c>
      <c r="AD168" s="32" t="str">
        <f>IF('Comptage Décadaire'!AE169&lt;&gt;"",VLOOKUP('Comptage Décadaire'!AE169,Utilisateurs!$D$2:$F$81,3,FALSE),"")</f>
        <v/>
      </c>
      <c r="AE168" s="35" t="str">
        <f>IF('Comptage Décadaire'!AF169&lt;&gt;"",VLOOKUP('Comptage Décadaire'!AF169,'Comptage Décadaire'!AF:AF,1,FALSE),"")</f>
        <v/>
      </c>
      <c r="AF168" s="32" t="str">
        <f>IF('Comptage Décadaire'!AG169&lt;&gt;"",VLOOKUP('Comptage Décadaire'!AG169,'Comptage Décadaire'!AG:AG,1,FALSE),"")</f>
        <v/>
      </c>
    </row>
    <row r="169" spans="1:32" x14ac:dyDescent="0.25">
      <c r="A169" s="25" t="str">
        <f>IF('Comptage Décadaire'!A170&lt;&gt;"",VLOOKUP('Comptage Décadaire'!A170,'Comptage Décadaire'!A:A,1,FALSE),"")</f>
        <v/>
      </c>
      <c r="B169" s="27" t="str">
        <f>IF('Comptage Décadaire'!B170&lt;&gt;"",VLOOKUP('Comptage Décadaire'!B170,'Comptage Décadaire'!B:B,1,FALSE),"")</f>
        <v/>
      </c>
      <c r="C169" s="28" t="str">
        <f>IF('Comptage Décadaire'!C170&lt;&gt;"",VLOOKUP('Comptage Décadaire'!C170,'Comptage Décadaire'!C:C,1,FALSE),"")</f>
        <v/>
      </c>
      <c r="D169" s="29" t="str">
        <f>IF('Comptage Décadaire'!D170&lt;&gt;"",VLOOKUP('Comptage Décadaire'!D170,Sites!$A:$B,2,FALSE),"")</f>
        <v/>
      </c>
      <c r="E169" s="29" t="str">
        <f>IF('Comptage Décadaire'!E170&lt;&gt;"",VLOOKUP('Comptage Décadaire'!E170,'Comptage Décadaire'!E:E,1,FALSE),"")</f>
        <v/>
      </c>
      <c r="F169" s="29" t="str">
        <f>IF('Comptage Décadaire'!F170&lt;&gt;"",VLOOKUP('Comptage Décadaire'!F170,Nomenclature!$B$2:$C$4,2,FALSE),"")</f>
        <v/>
      </c>
      <c r="G169" s="29" t="str">
        <f>IF('Comptage Décadaire'!G170&lt;&gt;"",VLOOKUP('Comptage Décadaire'!G170,'Comptage Décadaire'!G:G,1,FALSE),"")</f>
        <v/>
      </c>
      <c r="H169" s="29" t="str">
        <f>IF('Comptage Décadaire'!H170&lt;&gt;"",VLOOKUP('Comptage Décadaire'!H170,Nomenclature!$D$2:$E$7,2,FALSE),"")</f>
        <v/>
      </c>
      <c r="I169" s="30" t="str">
        <f>IF('Comptage Décadaire'!J170&lt;&gt;"",VLOOKUP('Comptage Décadaire'!J170,'Comptage Décadaire'!J:J,1,FALSE),"")</f>
        <v/>
      </c>
      <c r="J169" s="30" t="str">
        <f>IF('Comptage Décadaire'!K170&lt;&gt;"",VLOOKUP('Comptage Décadaire'!K170,'Comptage Décadaire'!K:K,1,FALSE),"")</f>
        <v/>
      </c>
      <c r="K169" s="30" t="str">
        <f>IF('Comptage Décadaire'!L170&lt;&gt;"",VLOOKUP('Comptage Décadaire'!L170,'Comptage Décadaire'!L:L,1,FALSE),"")</f>
        <v/>
      </c>
      <c r="L169" s="31" t="str">
        <f>IF('Comptage Décadaire'!M170&lt;&gt;"",VLOOKUP('Comptage Décadaire'!M170,'Comptage Décadaire'!M:M,1,FALSE),"")</f>
        <v/>
      </c>
      <c r="M169" s="33" t="str">
        <f>IF('Comptage Décadaire'!N170&lt;&gt;"",VLOOKUP('Comptage Décadaire'!N170,Utilisateurs!$D:$F,3,FALSE),"")</f>
        <v/>
      </c>
      <c r="N169" s="33" t="str">
        <f>IF('Comptage Décadaire'!O170&lt;&gt;"",VLOOKUP('Comptage Décadaire'!O170,Utilisateurs!$D:$F,3,FALSE),"")</f>
        <v/>
      </c>
      <c r="O169" s="33" t="str">
        <f>IF('Comptage Décadaire'!P170&lt;&gt;"",VLOOKUP('Comptage Décadaire'!P170,Utilisateurs!$D:$F,3,FALSE),"")</f>
        <v/>
      </c>
      <c r="P169" s="33" t="str">
        <f>IF('Comptage Décadaire'!Q170&lt;&gt;"",VLOOKUP('Comptage Décadaire'!Q170,Utilisateurs!$D:$F,3,FALSE),"")</f>
        <v/>
      </c>
      <c r="Q169" s="33" t="str">
        <f>IF('Comptage Décadaire'!R170&lt;&gt;"",VLOOKUP('Comptage Décadaire'!R170,Utilisateurs!$D:$F,3,FALSE),"")</f>
        <v/>
      </c>
      <c r="R169" s="30" t="str">
        <f>IF('Comptage Décadaire'!S170&lt;&gt;"",VLOOKUP('Comptage Décadaire'!S170,Nomenclature!$N:$O,2,FALSE),"")</f>
        <v/>
      </c>
      <c r="S169" s="30" t="str">
        <f>IF('Comptage Décadaire'!T170&lt;&gt;"",VLOOKUP('Comptage Décadaire'!T170,'Comptage Décadaire'!T:T,1,FALSE),"")</f>
        <v/>
      </c>
      <c r="T169" s="30" t="str">
        <f>IF('Comptage Décadaire'!U170&lt;&gt;"",VLOOKUP('Comptage Décadaire'!U170,'Comptage Décadaire'!U:U,1,FALSE),"")</f>
        <v/>
      </c>
      <c r="U169" s="30" t="str">
        <f>IF('Comptage Décadaire'!V170&lt;&gt;"",VLOOKUP('Comptage Décadaire'!V170,'Comptage Décadaire'!V:V,1,FALSE),"")</f>
        <v/>
      </c>
      <c r="V169" s="30" t="str">
        <f>IF('Comptage Décadaire'!W170&lt;&gt;"",VLOOKUP('Comptage Décadaire'!W170,'Comptage Décadaire'!W:W,1,FALSE),"")</f>
        <v/>
      </c>
      <c r="W169" s="30" t="str">
        <f>IF('Comptage Décadaire'!X170&lt;&gt;"",VLOOKUP('Comptage Décadaire'!X170,'Comptage Décadaire'!X:X,1,FALSE),"")</f>
        <v/>
      </c>
      <c r="X169" s="30" t="str">
        <f>IF('Comptage Décadaire'!Y170&lt;&gt;"",VLOOKUP('Comptage Décadaire'!Y170,'Comptage Décadaire'!Y:Y,1,FALSE),"")</f>
        <v/>
      </c>
      <c r="Y169" s="30" t="str">
        <f>IF('Comptage Décadaire'!Z170&lt;&gt;"",VLOOKUP('Comptage Décadaire'!Z170,Nomenclature!$F$2:$G$7,2,FALSE),"")</f>
        <v/>
      </c>
      <c r="Z169" s="30" t="str">
        <f>IF('Comptage Décadaire'!AA170&lt;&gt;"",VLOOKUP('Comptage Décadaire'!AA170,Nomenclature!$H$2:$I$31,2,FALSE),"")</f>
        <v/>
      </c>
      <c r="AA169" s="30" t="str">
        <f>IF('Comptage Décadaire'!AB170&lt;&gt;"",VLOOKUP('Comptage Décadaire'!AB170,Nomenclature!$J$2:$K$21,2,FALSE),"")</f>
        <v/>
      </c>
      <c r="AB169" s="30" t="str">
        <f>IF('Comptage Décadaire'!AC170&lt;&gt;"",VLOOKUP('Comptage Décadaire'!AC170,'Comptage Décadaire'!AC:AC,1,FALSE),"")</f>
        <v/>
      </c>
      <c r="AC169" s="32" t="str">
        <f>IF('Comptage Décadaire'!AD170&lt;&gt;"",VLOOKUP('Comptage Décadaire'!AD170,Nomenclature!$L$2:$M$8,2,FALSE),"")</f>
        <v/>
      </c>
      <c r="AD169" s="32" t="str">
        <f>IF('Comptage Décadaire'!AE170&lt;&gt;"",VLOOKUP('Comptage Décadaire'!AE170,Utilisateurs!$D$2:$F$81,3,FALSE),"")</f>
        <v/>
      </c>
      <c r="AE169" s="35" t="str">
        <f>IF('Comptage Décadaire'!AF170&lt;&gt;"",VLOOKUP('Comptage Décadaire'!AF170,'Comptage Décadaire'!AF:AF,1,FALSE),"")</f>
        <v/>
      </c>
      <c r="AF169" s="32" t="str">
        <f>IF('Comptage Décadaire'!AG170&lt;&gt;"",VLOOKUP('Comptage Décadaire'!AG170,'Comptage Décadaire'!AG:AG,1,FALSE),"")</f>
        <v/>
      </c>
    </row>
    <row r="170" spans="1:32" x14ac:dyDescent="0.25">
      <c r="A170" s="25" t="str">
        <f>IF('Comptage Décadaire'!A171&lt;&gt;"",VLOOKUP('Comptage Décadaire'!A171,'Comptage Décadaire'!A:A,1,FALSE),"")</f>
        <v/>
      </c>
      <c r="B170" s="27" t="str">
        <f>IF('Comptage Décadaire'!B171&lt;&gt;"",VLOOKUP('Comptage Décadaire'!B171,'Comptage Décadaire'!B:B,1,FALSE),"")</f>
        <v/>
      </c>
      <c r="C170" s="28" t="str">
        <f>IF('Comptage Décadaire'!C171&lt;&gt;"",VLOOKUP('Comptage Décadaire'!C171,'Comptage Décadaire'!C:C,1,FALSE),"")</f>
        <v/>
      </c>
      <c r="D170" s="29" t="str">
        <f>IF('Comptage Décadaire'!D171&lt;&gt;"",VLOOKUP('Comptage Décadaire'!D171,Sites!$A:$B,2,FALSE),"")</f>
        <v/>
      </c>
      <c r="E170" s="29" t="str">
        <f>IF('Comptage Décadaire'!E171&lt;&gt;"",VLOOKUP('Comptage Décadaire'!E171,'Comptage Décadaire'!E:E,1,FALSE),"")</f>
        <v/>
      </c>
      <c r="F170" s="29" t="str">
        <f>IF('Comptage Décadaire'!F171&lt;&gt;"",VLOOKUP('Comptage Décadaire'!F171,Nomenclature!$B$2:$C$4,2,FALSE),"")</f>
        <v/>
      </c>
      <c r="G170" s="29" t="str">
        <f>IF('Comptage Décadaire'!G171&lt;&gt;"",VLOOKUP('Comptage Décadaire'!G171,'Comptage Décadaire'!G:G,1,FALSE),"")</f>
        <v/>
      </c>
      <c r="H170" s="29" t="str">
        <f>IF('Comptage Décadaire'!H171&lt;&gt;"",VLOOKUP('Comptage Décadaire'!H171,Nomenclature!$D$2:$E$7,2,FALSE),"")</f>
        <v/>
      </c>
      <c r="I170" s="30" t="str">
        <f>IF('Comptage Décadaire'!J171&lt;&gt;"",VLOOKUP('Comptage Décadaire'!J171,'Comptage Décadaire'!J:J,1,FALSE),"")</f>
        <v/>
      </c>
      <c r="J170" s="30" t="str">
        <f>IF('Comptage Décadaire'!K171&lt;&gt;"",VLOOKUP('Comptage Décadaire'!K171,'Comptage Décadaire'!K:K,1,FALSE),"")</f>
        <v/>
      </c>
      <c r="K170" s="30" t="str">
        <f>IF('Comptage Décadaire'!L171&lt;&gt;"",VLOOKUP('Comptage Décadaire'!L171,'Comptage Décadaire'!L:L,1,FALSE),"")</f>
        <v/>
      </c>
      <c r="L170" s="31" t="str">
        <f>IF('Comptage Décadaire'!M171&lt;&gt;"",VLOOKUP('Comptage Décadaire'!M171,'Comptage Décadaire'!M:M,1,FALSE),"")</f>
        <v/>
      </c>
      <c r="M170" s="33" t="str">
        <f>IF('Comptage Décadaire'!N171&lt;&gt;"",VLOOKUP('Comptage Décadaire'!N171,Utilisateurs!$D:$F,3,FALSE),"")</f>
        <v/>
      </c>
      <c r="N170" s="33" t="str">
        <f>IF('Comptage Décadaire'!O171&lt;&gt;"",VLOOKUP('Comptage Décadaire'!O171,Utilisateurs!$D:$F,3,FALSE),"")</f>
        <v/>
      </c>
      <c r="O170" s="33" t="str">
        <f>IF('Comptage Décadaire'!P171&lt;&gt;"",VLOOKUP('Comptage Décadaire'!P171,Utilisateurs!$D:$F,3,FALSE),"")</f>
        <v/>
      </c>
      <c r="P170" s="33" t="str">
        <f>IF('Comptage Décadaire'!Q171&lt;&gt;"",VLOOKUP('Comptage Décadaire'!Q171,Utilisateurs!$D:$F,3,FALSE),"")</f>
        <v/>
      </c>
      <c r="Q170" s="33" t="str">
        <f>IF('Comptage Décadaire'!R171&lt;&gt;"",VLOOKUP('Comptage Décadaire'!R171,Utilisateurs!$D:$F,3,FALSE),"")</f>
        <v/>
      </c>
      <c r="R170" s="30" t="str">
        <f>IF('Comptage Décadaire'!S171&lt;&gt;"",VLOOKUP('Comptage Décadaire'!S171,Nomenclature!$N:$O,2,FALSE),"")</f>
        <v/>
      </c>
      <c r="S170" s="30" t="str">
        <f>IF('Comptage Décadaire'!T171&lt;&gt;"",VLOOKUP('Comptage Décadaire'!T171,'Comptage Décadaire'!T:T,1,FALSE),"")</f>
        <v/>
      </c>
      <c r="T170" s="30" t="str">
        <f>IF('Comptage Décadaire'!U171&lt;&gt;"",VLOOKUP('Comptage Décadaire'!U171,'Comptage Décadaire'!U:U,1,FALSE),"")</f>
        <v/>
      </c>
      <c r="U170" s="30" t="str">
        <f>IF('Comptage Décadaire'!V171&lt;&gt;"",VLOOKUP('Comptage Décadaire'!V171,'Comptage Décadaire'!V:V,1,FALSE),"")</f>
        <v/>
      </c>
      <c r="V170" s="30" t="str">
        <f>IF('Comptage Décadaire'!W171&lt;&gt;"",VLOOKUP('Comptage Décadaire'!W171,'Comptage Décadaire'!W:W,1,FALSE),"")</f>
        <v/>
      </c>
      <c r="W170" s="30" t="str">
        <f>IF('Comptage Décadaire'!X171&lt;&gt;"",VLOOKUP('Comptage Décadaire'!X171,'Comptage Décadaire'!X:X,1,FALSE),"")</f>
        <v/>
      </c>
      <c r="X170" s="30" t="str">
        <f>IF('Comptage Décadaire'!Y171&lt;&gt;"",VLOOKUP('Comptage Décadaire'!Y171,'Comptage Décadaire'!Y:Y,1,FALSE),"")</f>
        <v/>
      </c>
      <c r="Y170" s="30" t="str">
        <f>IF('Comptage Décadaire'!Z171&lt;&gt;"",VLOOKUP('Comptage Décadaire'!Z171,Nomenclature!$F$2:$G$7,2,FALSE),"")</f>
        <v/>
      </c>
      <c r="Z170" s="30" t="str">
        <f>IF('Comptage Décadaire'!AA171&lt;&gt;"",VLOOKUP('Comptage Décadaire'!AA171,Nomenclature!$H$2:$I$31,2,FALSE),"")</f>
        <v/>
      </c>
      <c r="AA170" s="30" t="str">
        <f>IF('Comptage Décadaire'!AB171&lt;&gt;"",VLOOKUP('Comptage Décadaire'!AB171,Nomenclature!$J$2:$K$21,2,FALSE),"")</f>
        <v/>
      </c>
      <c r="AB170" s="30" t="str">
        <f>IF('Comptage Décadaire'!AC171&lt;&gt;"",VLOOKUP('Comptage Décadaire'!AC171,'Comptage Décadaire'!AC:AC,1,FALSE),"")</f>
        <v/>
      </c>
      <c r="AC170" s="32" t="str">
        <f>IF('Comptage Décadaire'!AD171&lt;&gt;"",VLOOKUP('Comptage Décadaire'!AD171,Nomenclature!$L$2:$M$8,2,FALSE),"")</f>
        <v/>
      </c>
      <c r="AD170" s="32" t="str">
        <f>IF('Comptage Décadaire'!AE171&lt;&gt;"",VLOOKUP('Comptage Décadaire'!AE171,Utilisateurs!$D$2:$F$81,3,FALSE),"")</f>
        <v/>
      </c>
      <c r="AE170" s="35" t="str">
        <f>IF('Comptage Décadaire'!AF171&lt;&gt;"",VLOOKUP('Comptage Décadaire'!AF171,'Comptage Décadaire'!AF:AF,1,FALSE),"")</f>
        <v/>
      </c>
      <c r="AF170" s="32" t="str">
        <f>IF('Comptage Décadaire'!AG171&lt;&gt;"",VLOOKUP('Comptage Décadaire'!AG171,'Comptage Décadaire'!AG:AG,1,FALSE),"")</f>
        <v/>
      </c>
    </row>
  </sheetData>
  <conditionalFormatting sqref="AC1 S171:S1048576">
    <cfRule type="expression" dxfId="1" priority="3">
      <formula>SUM(#REF!)</formula>
    </cfRule>
  </conditionalFormatting>
  <conditionalFormatting sqref="R171:R1048576">
    <cfRule type="expression" dxfId="0" priority="1">
      <formula>SUM(#REF!)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7B4E86C0-CA2D-4754-AA66-A93AB737C31E}">
          <x14:formula1>
            <xm:f>Sites!$A$2:$A$195</xm:f>
          </x14:formula1>
          <xm:sqref>D171:G999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8D6A-0F30-49A7-B1D5-4258205027D8}">
  <sheetPr>
    <tabColor theme="7" tint="0.79998168889431442"/>
  </sheetPr>
  <dimension ref="A1:D553"/>
  <sheetViews>
    <sheetView workbookViewId="0">
      <selection activeCell="A2" sqref="A2"/>
    </sheetView>
  </sheetViews>
  <sheetFormatPr baseColWidth="10" defaultRowHeight="15" x14ac:dyDescent="0.25"/>
  <cols>
    <col min="1" max="1" width="46.42578125" style="16" bestFit="1" customWidth="1"/>
    <col min="2" max="2" width="39.85546875" style="16" bestFit="1" customWidth="1"/>
    <col min="3" max="3" width="30" bestFit="1" customWidth="1"/>
    <col min="4" max="4" width="23.42578125" bestFit="1" customWidth="1"/>
  </cols>
  <sheetData>
    <row r="1" spans="1:4" x14ac:dyDescent="0.25">
      <c r="A1" t="s">
        <v>32</v>
      </c>
      <c r="B1" t="s">
        <v>1012</v>
      </c>
      <c r="D1" t="s">
        <v>1013</v>
      </c>
    </row>
    <row r="2" spans="1:4" x14ac:dyDescent="0.25">
      <c r="A2" s="16" t="s">
        <v>1103</v>
      </c>
      <c r="B2" s="16">
        <v>1155</v>
      </c>
      <c r="C2" s="16"/>
      <c r="D2" s="16" t="s">
        <v>1014</v>
      </c>
    </row>
    <row r="3" spans="1:4" x14ac:dyDescent="0.25">
      <c r="A3" s="16" t="s">
        <v>1104</v>
      </c>
      <c r="B3" s="16">
        <v>1156</v>
      </c>
      <c r="C3" s="16"/>
      <c r="D3" s="16" t="s">
        <v>1015</v>
      </c>
    </row>
    <row r="4" spans="1:4" x14ac:dyDescent="0.25">
      <c r="A4" s="16" t="s">
        <v>1105</v>
      </c>
      <c r="B4" s="16">
        <v>1157</v>
      </c>
      <c r="C4" s="16"/>
      <c r="D4" s="16" t="s">
        <v>1096</v>
      </c>
    </row>
    <row r="5" spans="1:4" x14ac:dyDescent="0.25">
      <c r="A5" s="16" t="s">
        <v>1106</v>
      </c>
      <c r="B5" s="16">
        <v>1158</v>
      </c>
      <c r="C5" s="16"/>
      <c r="D5" s="16" t="s">
        <v>1093</v>
      </c>
    </row>
    <row r="6" spans="1:4" x14ac:dyDescent="0.25">
      <c r="A6" s="16" t="s">
        <v>1107</v>
      </c>
      <c r="B6" s="16">
        <v>1159</v>
      </c>
      <c r="C6" s="16"/>
      <c r="D6" s="16"/>
    </row>
    <row r="7" spans="1:4" x14ac:dyDescent="0.25">
      <c r="A7" s="16" t="s">
        <v>1108</v>
      </c>
      <c r="B7" s="16">
        <v>1160</v>
      </c>
      <c r="C7" s="16"/>
      <c r="D7" s="16"/>
    </row>
    <row r="8" spans="1:4" x14ac:dyDescent="0.25">
      <c r="A8" s="16" t="s">
        <v>1109</v>
      </c>
      <c r="B8" s="16">
        <v>1161</v>
      </c>
      <c r="C8" s="16"/>
      <c r="D8" s="16"/>
    </row>
    <row r="9" spans="1:4" x14ac:dyDescent="0.25">
      <c r="A9" s="16" t="s">
        <v>1110</v>
      </c>
      <c r="B9" s="16">
        <v>1162</v>
      </c>
      <c r="C9" s="16"/>
      <c r="D9" s="16"/>
    </row>
    <row r="10" spans="1:4" x14ac:dyDescent="0.25">
      <c r="A10" s="16" t="s">
        <v>1111</v>
      </c>
      <c r="B10" s="16">
        <v>1163</v>
      </c>
      <c r="C10" s="16"/>
      <c r="D10" s="16"/>
    </row>
    <row r="11" spans="1:4" x14ac:dyDescent="0.25">
      <c r="A11" s="16" t="s">
        <v>1112</v>
      </c>
      <c r="B11" s="16">
        <v>1164</v>
      </c>
      <c r="C11" s="16"/>
      <c r="D11" s="16"/>
    </row>
    <row r="12" spans="1:4" x14ac:dyDescent="0.25">
      <c r="A12" s="16" t="s">
        <v>1113</v>
      </c>
      <c r="B12" s="16">
        <v>1165</v>
      </c>
      <c r="C12" s="16"/>
      <c r="D12" s="16"/>
    </row>
    <row r="13" spans="1:4" x14ac:dyDescent="0.25">
      <c r="A13" s="16" t="s">
        <v>1114</v>
      </c>
      <c r="B13" s="16">
        <v>1166</v>
      </c>
      <c r="C13" s="16"/>
      <c r="D13" s="16"/>
    </row>
    <row r="14" spans="1:4" x14ac:dyDescent="0.25">
      <c r="A14" s="16" t="s">
        <v>1115</v>
      </c>
      <c r="B14" s="16">
        <v>1168</v>
      </c>
      <c r="C14" s="16"/>
      <c r="D14" s="16"/>
    </row>
    <row r="15" spans="1:4" x14ac:dyDescent="0.25">
      <c r="A15" s="16" t="s">
        <v>1116</v>
      </c>
      <c r="B15" s="16">
        <v>1169</v>
      </c>
      <c r="C15" s="16"/>
      <c r="D15" s="16"/>
    </row>
    <row r="16" spans="1:4" x14ac:dyDescent="0.25">
      <c r="A16" s="16" t="s">
        <v>1117</v>
      </c>
      <c r="B16" s="16">
        <v>1170</v>
      </c>
      <c r="C16" s="16"/>
      <c r="D16" s="16"/>
    </row>
    <row r="17" spans="1:4" x14ac:dyDescent="0.25">
      <c r="A17" s="16" t="s">
        <v>1118</v>
      </c>
      <c r="B17" s="16">
        <v>1171</v>
      </c>
      <c r="C17" s="16"/>
      <c r="D17" s="16"/>
    </row>
    <row r="18" spans="1:4" x14ac:dyDescent="0.25">
      <c r="A18" s="16" t="s">
        <v>1119</v>
      </c>
      <c r="B18" s="16">
        <v>1172</v>
      </c>
      <c r="C18" s="16"/>
      <c r="D18" s="16"/>
    </row>
    <row r="19" spans="1:4" x14ac:dyDescent="0.25">
      <c r="A19" s="16" t="s">
        <v>1120</v>
      </c>
      <c r="B19" s="16">
        <v>1173</v>
      </c>
      <c r="C19" s="16"/>
      <c r="D19" s="16"/>
    </row>
    <row r="20" spans="1:4" x14ac:dyDescent="0.25">
      <c r="A20" s="16" t="s">
        <v>1121</v>
      </c>
      <c r="B20" s="16">
        <v>1174</v>
      </c>
      <c r="C20" s="16"/>
      <c r="D20" s="16"/>
    </row>
    <row r="21" spans="1:4" x14ac:dyDescent="0.25">
      <c r="A21" s="16" t="s">
        <v>1122</v>
      </c>
      <c r="B21" s="16">
        <v>1175</v>
      </c>
      <c r="C21" s="16"/>
      <c r="D21" s="16"/>
    </row>
    <row r="22" spans="1:4" x14ac:dyDescent="0.25">
      <c r="A22" s="16" t="s">
        <v>1123</v>
      </c>
      <c r="B22" s="16">
        <v>1176</v>
      </c>
      <c r="C22" s="16"/>
      <c r="D22" s="16"/>
    </row>
    <row r="23" spans="1:4" x14ac:dyDescent="0.25">
      <c r="A23" s="16" t="s">
        <v>1124</v>
      </c>
      <c r="B23" s="16">
        <v>1177</v>
      </c>
      <c r="C23" s="16"/>
      <c r="D23" s="16"/>
    </row>
    <row r="24" spans="1:4" x14ac:dyDescent="0.25">
      <c r="A24" s="16" t="s">
        <v>1125</v>
      </c>
      <c r="B24" s="16">
        <v>1178</v>
      </c>
      <c r="C24" s="16"/>
      <c r="D24" s="16"/>
    </row>
    <row r="25" spans="1:4" x14ac:dyDescent="0.25">
      <c r="A25" s="16" t="s">
        <v>1126</v>
      </c>
      <c r="B25" s="16">
        <v>1179</v>
      </c>
      <c r="C25" s="16"/>
      <c r="D25" s="16"/>
    </row>
    <row r="26" spans="1:4" x14ac:dyDescent="0.25">
      <c r="A26" s="16" t="s">
        <v>1127</v>
      </c>
      <c r="B26" s="16">
        <v>1180</v>
      </c>
      <c r="C26" s="16"/>
      <c r="D26" s="16"/>
    </row>
    <row r="27" spans="1:4" x14ac:dyDescent="0.25">
      <c r="A27" s="16" t="s">
        <v>1128</v>
      </c>
      <c r="B27" s="16">
        <v>1182</v>
      </c>
      <c r="C27" s="16"/>
      <c r="D27" s="16"/>
    </row>
    <row r="28" spans="1:4" x14ac:dyDescent="0.25">
      <c r="A28" s="16" t="s">
        <v>1129</v>
      </c>
      <c r="B28" s="16">
        <v>1183</v>
      </c>
      <c r="C28" s="16"/>
      <c r="D28" s="16"/>
    </row>
    <row r="29" spans="1:4" x14ac:dyDescent="0.25">
      <c r="A29" s="16" t="s">
        <v>1130</v>
      </c>
      <c r="B29" s="16">
        <v>1184</v>
      </c>
      <c r="C29" s="16"/>
      <c r="D29" s="16"/>
    </row>
    <row r="30" spans="1:4" x14ac:dyDescent="0.25">
      <c r="A30" s="16" t="s">
        <v>1131</v>
      </c>
      <c r="B30" s="16">
        <v>1185</v>
      </c>
      <c r="C30" s="16"/>
      <c r="D30" s="16"/>
    </row>
    <row r="31" spans="1:4" x14ac:dyDescent="0.25">
      <c r="A31" s="16" t="s">
        <v>1132</v>
      </c>
      <c r="B31" s="16">
        <v>1186</v>
      </c>
      <c r="C31" s="16"/>
      <c r="D31" s="16"/>
    </row>
    <row r="32" spans="1:4" x14ac:dyDescent="0.25">
      <c r="A32" s="16" t="s">
        <v>1133</v>
      </c>
      <c r="B32" s="16">
        <v>1187</v>
      </c>
      <c r="C32" s="16"/>
      <c r="D32" s="16"/>
    </row>
    <row r="33" spans="1:4" x14ac:dyDescent="0.25">
      <c r="A33" s="16" t="s">
        <v>1134</v>
      </c>
      <c r="B33" s="16">
        <v>1188</v>
      </c>
      <c r="C33" s="16"/>
      <c r="D33" s="16"/>
    </row>
    <row r="34" spans="1:4" x14ac:dyDescent="0.25">
      <c r="A34" s="16" t="s">
        <v>1135</v>
      </c>
      <c r="B34" s="16">
        <v>1189</v>
      </c>
      <c r="C34" s="16"/>
      <c r="D34" s="16"/>
    </row>
    <row r="35" spans="1:4" x14ac:dyDescent="0.25">
      <c r="A35" s="16" t="s">
        <v>1136</v>
      </c>
      <c r="B35" s="16">
        <v>1190</v>
      </c>
      <c r="C35" s="16"/>
      <c r="D35" s="16"/>
    </row>
    <row r="36" spans="1:4" x14ac:dyDescent="0.25">
      <c r="A36" s="16" t="s">
        <v>1137</v>
      </c>
      <c r="B36" s="16">
        <v>1191</v>
      </c>
      <c r="C36" s="16"/>
      <c r="D36" s="16"/>
    </row>
    <row r="37" spans="1:4" x14ac:dyDescent="0.25">
      <c r="A37" s="16" t="s">
        <v>1138</v>
      </c>
      <c r="B37" s="16">
        <v>1192</v>
      </c>
      <c r="C37" s="16"/>
      <c r="D37" s="16"/>
    </row>
    <row r="38" spans="1:4" x14ac:dyDescent="0.25">
      <c r="A38" s="16" t="s">
        <v>1139</v>
      </c>
      <c r="B38" s="16">
        <v>1193</v>
      </c>
      <c r="C38" s="16"/>
      <c r="D38" s="16"/>
    </row>
    <row r="39" spans="1:4" x14ac:dyDescent="0.25">
      <c r="A39" s="16" t="s">
        <v>1140</v>
      </c>
      <c r="B39" s="16">
        <v>1194</v>
      </c>
      <c r="C39" s="16"/>
      <c r="D39" s="16"/>
    </row>
    <row r="40" spans="1:4" x14ac:dyDescent="0.25">
      <c r="A40" s="16" t="s">
        <v>1141</v>
      </c>
      <c r="B40" s="16">
        <v>1195</v>
      </c>
      <c r="C40" s="16"/>
      <c r="D40" s="16"/>
    </row>
    <row r="41" spans="1:4" x14ac:dyDescent="0.25">
      <c r="A41" s="16" t="s">
        <v>1142</v>
      </c>
      <c r="B41" s="16">
        <v>1196</v>
      </c>
      <c r="C41" s="16"/>
      <c r="D41" s="16"/>
    </row>
    <row r="42" spans="1:4" x14ac:dyDescent="0.25">
      <c r="A42" s="16" t="s">
        <v>1143</v>
      </c>
      <c r="B42" s="16">
        <v>1197</v>
      </c>
      <c r="C42" s="16"/>
      <c r="D42" s="16"/>
    </row>
    <row r="43" spans="1:4" x14ac:dyDescent="0.25">
      <c r="A43" s="16" t="s">
        <v>1144</v>
      </c>
      <c r="B43" s="16">
        <v>1198</v>
      </c>
      <c r="C43" s="16"/>
      <c r="D43" s="16"/>
    </row>
    <row r="44" spans="1:4" x14ac:dyDescent="0.25">
      <c r="A44" s="16" t="s">
        <v>1145</v>
      </c>
      <c r="B44" s="16">
        <v>1199</v>
      </c>
      <c r="C44" s="16"/>
      <c r="D44" s="16"/>
    </row>
    <row r="45" spans="1:4" x14ac:dyDescent="0.25">
      <c r="A45" s="16" t="s">
        <v>1146</v>
      </c>
      <c r="B45" s="16">
        <v>1200</v>
      </c>
      <c r="C45" s="16"/>
      <c r="D45" s="16"/>
    </row>
    <row r="46" spans="1:4" x14ac:dyDescent="0.25">
      <c r="A46" s="16" t="s">
        <v>1147</v>
      </c>
      <c r="B46" s="16">
        <v>1201</v>
      </c>
      <c r="C46" s="16"/>
      <c r="D46" s="16"/>
    </row>
    <row r="47" spans="1:4" x14ac:dyDescent="0.25">
      <c r="A47" s="16" t="s">
        <v>1148</v>
      </c>
      <c r="B47" s="16">
        <v>1202</v>
      </c>
      <c r="C47" s="16"/>
      <c r="D47" s="16"/>
    </row>
    <row r="48" spans="1:4" x14ac:dyDescent="0.25">
      <c r="A48" s="16" t="s">
        <v>1149</v>
      </c>
      <c r="B48" s="16">
        <v>1203</v>
      </c>
      <c r="C48" s="16"/>
      <c r="D48" s="16"/>
    </row>
    <row r="49" spans="1:4" x14ac:dyDescent="0.25">
      <c r="A49" s="16" t="s">
        <v>1150</v>
      </c>
      <c r="B49" s="16">
        <v>1204</v>
      </c>
      <c r="C49" s="16"/>
      <c r="D49" s="16"/>
    </row>
    <row r="50" spans="1:4" x14ac:dyDescent="0.25">
      <c r="A50" s="16" t="s">
        <v>1151</v>
      </c>
      <c r="B50" s="16">
        <v>1205</v>
      </c>
      <c r="C50" s="16"/>
      <c r="D50" s="16"/>
    </row>
    <row r="51" spans="1:4" x14ac:dyDescent="0.25">
      <c r="A51" s="16" t="s">
        <v>1152</v>
      </c>
      <c r="B51" s="16">
        <v>1206</v>
      </c>
      <c r="C51" s="16"/>
      <c r="D51" s="16"/>
    </row>
    <row r="52" spans="1:4" x14ac:dyDescent="0.25">
      <c r="A52" s="16" t="s">
        <v>1153</v>
      </c>
      <c r="B52" s="16">
        <v>1207</v>
      </c>
      <c r="C52" s="16"/>
      <c r="D52" s="16"/>
    </row>
    <row r="53" spans="1:4" x14ac:dyDescent="0.25">
      <c r="A53" s="16" t="s">
        <v>1154</v>
      </c>
      <c r="B53" s="16">
        <v>1208</v>
      </c>
      <c r="C53" s="16"/>
      <c r="D53" s="16"/>
    </row>
    <row r="54" spans="1:4" x14ac:dyDescent="0.25">
      <c r="A54" s="16" t="s">
        <v>1155</v>
      </c>
      <c r="B54" s="16">
        <v>1209</v>
      </c>
      <c r="C54" s="16"/>
      <c r="D54" s="16"/>
    </row>
    <row r="55" spans="1:4" x14ac:dyDescent="0.25">
      <c r="A55" s="16" t="s">
        <v>1156</v>
      </c>
      <c r="B55" s="16">
        <v>1210</v>
      </c>
      <c r="C55" s="16"/>
      <c r="D55" s="16"/>
    </row>
    <row r="56" spans="1:4" x14ac:dyDescent="0.25">
      <c r="A56" s="16" t="s">
        <v>1157</v>
      </c>
      <c r="B56" s="16">
        <v>1211</v>
      </c>
      <c r="C56" s="16"/>
      <c r="D56" s="16"/>
    </row>
    <row r="57" spans="1:4" x14ac:dyDescent="0.25">
      <c r="A57" s="16" t="s">
        <v>1158</v>
      </c>
      <c r="B57" s="16">
        <v>1212</v>
      </c>
      <c r="C57" s="16"/>
      <c r="D57" s="16"/>
    </row>
    <row r="58" spans="1:4" x14ac:dyDescent="0.25">
      <c r="A58" s="16" t="s">
        <v>1159</v>
      </c>
      <c r="B58" s="16">
        <v>1213</v>
      </c>
      <c r="C58" s="16"/>
      <c r="D58" s="16"/>
    </row>
    <row r="59" spans="1:4" x14ac:dyDescent="0.25">
      <c r="A59" s="16" t="s">
        <v>1160</v>
      </c>
      <c r="B59" s="16">
        <v>1214</v>
      </c>
      <c r="C59" s="16"/>
      <c r="D59" s="16"/>
    </row>
    <row r="60" spans="1:4" x14ac:dyDescent="0.25">
      <c r="A60" s="16" t="s">
        <v>1161</v>
      </c>
      <c r="B60" s="16">
        <v>1215</v>
      </c>
      <c r="C60" s="16"/>
      <c r="D60" s="16"/>
    </row>
    <row r="61" spans="1:4" x14ac:dyDescent="0.25">
      <c r="A61" s="16" t="s">
        <v>1162</v>
      </c>
      <c r="B61" s="16">
        <v>1216</v>
      </c>
      <c r="C61" s="16"/>
      <c r="D61" s="16"/>
    </row>
    <row r="62" spans="1:4" x14ac:dyDescent="0.25">
      <c r="A62" s="16" t="s">
        <v>1163</v>
      </c>
      <c r="B62" s="16">
        <v>1217</v>
      </c>
      <c r="C62" s="16"/>
      <c r="D62" s="16"/>
    </row>
    <row r="63" spans="1:4" x14ac:dyDescent="0.25">
      <c r="A63" s="16" t="s">
        <v>1164</v>
      </c>
      <c r="B63" s="16">
        <v>1218</v>
      </c>
      <c r="C63" s="16"/>
      <c r="D63" s="16"/>
    </row>
    <row r="64" spans="1:4" x14ac:dyDescent="0.25">
      <c r="A64" s="16" t="s">
        <v>1165</v>
      </c>
      <c r="B64" s="16">
        <v>1219</v>
      </c>
      <c r="C64" s="16"/>
      <c r="D64" s="16"/>
    </row>
    <row r="65" spans="1:4" x14ac:dyDescent="0.25">
      <c r="A65" s="16" t="s">
        <v>1166</v>
      </c>
      <c r="B65" s="16">
        <v>1220</v>
      </c>
      <c r="C65" s="16"/>
      <c r="D65" s="16"/>
    </row>
    <row r="66" spans="1:4" x14ac:dyDescent="0.25">
      <c r="A66" s="16" t="s">
        <v>1167</v>
      </c>
      <c r="B66" s="16">
        <v>1221</v>
      </c>
      <c r="C66" s="16"/>
      <c r="D66" s="16"/>
    </row>
    <row r="67" spans="1:4" x14ac:dyDescent="0.25">
      <c r="A67" s="16" t="s">
        <v>1168</v>
      </c>
      <c r="B67" s="16">
        <v>1222</v>
      </c>
      <c r="C67" s="16"/>
      <c r="D67" s="16"/>
    </row>
    <row r="68" spans="1:4" x14ac:dyDescent="0.25">
      <c r="A68" s="16" t="s">
        <v>1169</v>
      </c>
      <c r="B68" s="16">
        <v>1223</v>
      </c>
      <c r="C68" s="16"/>
      <c r="D68" s="16"/>
    </row>
    <row r="69" spans="1:4" x14ac:dyDescent="0.25">
      <c r="A69" s="16" t="s">
        <v>1170</v>
      </c>
      <c r="B69" s="16">
        <v>1224</v>
      </c>
      <c r="C69" s="16"/>
      <c r="D69" s="16"/>
    </row>
    <row r="70" spans="1:4" x14ac:dyDescent="0.25">
      <c r="A70" s="16" t="s">
        <v>1171</v>
      </c>
      <c r="B70" s="16">
        <v>1283</v>
      </c>
      <c r="C70" s="16"/>
      <c r="D70" s="16"/>
    </row>
    <row r="71" spans="1:4" x14ac:dyDescent="0.25">
      <c r="A71" s="16" t="s">
        <v>1172</v>
      </c>
      <c r="B71" s="16">
        <v>1225</v>
      </c>
      <c r="C71" s="16"/>
      <c r="D71" s="16"/>
    </row>
    <row r="72" spans="1:4" x14ac:dyDescent="0.25">
      <c r="A72" s="16" t="s">
        <v>1173</v>
      </c>
      <c r="B72" s="16">
        <v>1226</v>
      </c>
      <c r="C72" s="16"/>
      <c r="D72" s="16"/>
    </row>
    <row r="73" spans="1:4" x14ac:dyDescent="0.25">
      <c r="A73" s="16" t="s">
        <v>1174</v>
      </c>
      <c r="B73" s="16">
        <v>1227</v>
      </c>
      <c r="C73" s="16"/>
      <c r="D73" s="16"/>
    </row>
    <row r="74" spans="1:4" x14ac:dyDescent="0.25">
      <c r="A74" s="16" t="s">
        <v>1175</v>
      </c>
      <c r="B74" s="16">
        <v>1228</v>
      </c>
      <c r="C74" s="16"/>
      <c r="D74" s="16"/>
    </row>
    <row r="75" spans="1:4" x14ac:dyDescent="0.25">
      <c r="A75" s="16" t="s">
        <v>1176</v>
      </c>
      <c r="B75" s="16">
        <v>1229</v>
      </c>
      <c r="C75" s="16"/>
      <c r="D75" s="16"/>
    </row>
    <row r="76" spans="1:4" x14ac:dyDescent="0.25">
      <c r="A76" s="16" t="s">
        <v>1177</v>
      </c>
      <c r="B76" s="16">
        <v>1230</v>
      </c>
      <c r="C76" s="16"/>
      <c r="D76" s="16"/>
    </row>
    <row r="77" spans="1:4" x14ac:dyDescent="0.25">
      <c r="A77" s="16" t="s">
        <v>1178</v>
      </c>
      <c r="B77" s="16">
        <v>1231</v>
      </c>
      <c r="C77" s="16"/>
      <c r="D77" s="16"/>
    </row>
    <row r="78" spans="1:4" x14ac:dyDescent="0.25">
      <c r="A78" s="16" t="s">
        <v>1179</v>
      </c>
      <c r="B78" s="16">
        <v>1232</v>
      </c>
      <c r="C78" s="16"/>
      <c r="D78" s="16"/>
    </row>
    <row r="79" spans="1:4" x14ac:dyDescent="0.25">
      <c r="A79" s="16" t="s">
        <v>1180</v>
      </c>
      <c r="B79" s="16">
        <v>1233</v>
      </c>
      <c r="C79" s="16"/>
      <c r="D79" s="16"/>
    </row>
    <row r="80" spans="1:4" x14ac:dyDescent="0.25">
      <c r="A80" s="16" t="s">
        <v>1181</v>
      </c>
      <c r="B80" s="16">
        <v>1234</v>
      </c>
      <c r="C80" s="16"/>
      <c r="D80" s="16"/>
    </row>
    <row r="81" spans="1:4" x14ac:dyDescent="0.25">
      <c r="A81" s="16" t="s">
        <v>1182</v>
      </c>
      <c r="B81" s="16">
        <v>1235</v>
      </c>
      <c r="C81" s="16"/>
      <c r="D81" s="16"/>
    </row>
    <row r="82" spans="1:4" x14ac:dyDescent="0.25">
      <c r="A82" s="16" t="s">
        <v>1183</v>
      </c>
      <c r="B82" s="16">
        <v>1236</v>
      </c>
      <c r="C82" s="16"/>
      <c r="D82" s="16"/>
    </row>
    <row r="83" spans="1:4" x14ac:dyDescent="0.25">
      <c r="A83" s="16" t="s">
        <v>1184</v>
      </c>
      <c r="B83" s="16">
        <v>1237</v>
      </c>
      <c r="C83" s="16"/>
      <c r="D83" s="16"/>
    </row>
    <row r="84" spans="1:4" x14ac:dyDescent="0.25">
      <c r="A84" s="16" t="s">
        <v>1185</v>
      </c>
      <c r="B84" s="16">
        <v>1238</v>
      </c>
      <c r="C84" s="16"/>
      <c r="D84" s="16"/>
    </row>
    <row r="85" spans="1:4" x14ac:dyDescent="0.25">
      <c r="A85" s="16" t="s">
        <v>1186</v>
      </c>
      <c r="B85" s="16">
        <v>1239</v>
      </c>
      <c r="C85" s="16"/>
      <c r="D85" s="16"/>
    </row>
    <row r="86" spans="1:4" x14ac:dyDescent="0.25">
      <c r="A86" s="16" t="s">
        <v>1187</v>
      </c>
      <c r="B86" s="16">
        <v>1240</v>
      </c>
      <c r="C86" s="16"/>
      <c r="D86" s="16"/>
    </row>
    <row r="87" spans="1:4" x14ac:dyDescent="0.25">
      <c r="A87" s="16" t="s">
        <v>1188</v>
      </c>
      <c r="B87" s="16">
        <v>1241</v>
      </c>
      <c r="C87" s="16"/>
      <c r="D87" s="16"/>
    </row>
    <row r="88" spans="1:4" x14ac:dyDescent="0.25">
      <c r="A88" s="16" t="s">
        <v>1189</v>
      </c>
      <c r="B88" s="16">
        <v>1242</v>
      </c>
      <c r="C88" s="16"/>
      <c r="D88" s="16"/>
    </row>
    <row r="89" spans="1:4" x14ac:dyDescent="0.25">
      <c r="A89" s="16" t="s">
        <v>1190</v>
      </c>
      <c r="B89" s="16">
        <v>1243</v>
      </c>
      <c r="C89" s="16"/>
      <c r="D89" s="16"/>
    </row>
    <row r="90" spans="1:4" x14ac:dyDescent="0.25">
      <c r="A90" s="16" t="s">
        <v>1191</v>
      </c>
      <c r="B90" s="16">
        <v>1244</v>
      </c>
      <c r="C90" s="16"/>
      <c r="D90" s="16"/>
    </row>
    <row r="91" spans="1:4" x14ac:dyDescent="0.25">
      <c r="A91" s="16" t="s">
        <v>1192</v>
      </c>
      <c r="B91" s="16">
        <v>1245</v>
      </c>
      <c r="C91" s="16"/>
      <c r="D91" s="16"/>
    </row>
    <row r="92" spans="1:4" x14ac:dyDescent="0.25">
      <c r="A92" s="16" t="s">
        <v>1193</v>
      </c>
      <c r="B92" s="16">
        <v>1246</v>
      </c>
      <c r="C92" s="16"/>
      <c r="D92" s="16"/>
    </row>
    <row r="93" spans="1:4" x14ac:dyDescent="0.25">
      <c r="A93" s="16" t="s">
        <v>1194</v>
      </c>
      <c r="B93" s="16">
        <v>1247</v>
      </c>
      <c r="C93" s="16"/>
      <c r="D93" s="16"/>
    </row>
    <row r="94" spans="1:4" x14ac:dyDescent="0.25">
      <c r="A94" s="16" t="s">
        <v>1195</v>
      </c>
      <c r="B94" s="16">
        <v>1248</v>
      </c>
      <c r="C94" s="16"/>
      <c r="D94" s="16"/>
    </row>
    <row r="95" spans="1:4" x14ac:dyDescent="0.25">
      <c r="A95" s="16" t="s">
        <v>1196</v>
      </c>
      <c r="B95" s="16">
        <v>1249</v>
      </c>
      <c r="C95" s="16"/>
      <c r="D95" s="16"/>
    </row>
    <row r="96" spans="1:4" x14ac:dyDescent="0.25">
      <c r="A96" s="16" t="s">
        <v>1197</v>
      </c>
      <c r="B96" s="16">
        <v>1250</v>
      </c>
      <c r="C96" s="16"/>
      <c r="D96" s="16"/>
    </row>
    <row r="97" spans="1:4" x14ac:dyDescent="0.25">
      <c r="A97" s="16" t="s">
        <v>1198</v>
      </c>
      <c r="B97" s="16">
        <v>1251</v>
      </c>
      <c r="C97" s="16"/>
      <c r="D97" s="16"/>
    </row>
    <row r="98" spans="1:4" x14ac:dyDescent="0.25">
      <c r="A98" s="16" t="s">
        <v>1199</v>
      </c>
      <c r="B98" s="16">
        <v>1252</v>
      </c>
      <c r="C98" s="16"/>
      <c r="D98" s="16"/>
    </row>
    <row r="99" spans="1:4" x14ac:dyDescent="0.25">
      <c r="A99" s="16" t="s">
        <v>1200</v>
      </c>
      <c r="B99" s="16">
        <v>1253</v>
      </c>
      <c r="C99" s="16"/>
      <c r="D99" s="16"/>
    </row>
    <row r="100" spans="1:4" x14ac:dyDescent="0.25">
      <c r="A100" s="16" t="s">
        <v>1201</v>
      </c>
      <c r="B100" s="16">
        <v>1254</v>
      </c>
      <c r="C100" s="16"/>
      <c r="D100" s="16"/>
    </row>
    <row r="101" spans="1:4" x14ac:dyDescent="0.25">
      <c r="A101" s="16" t="s">
        <v>1202</v>
      </c>
      <c r="B101" s="16">
        <v>1255</v>
      </c>
      <c r="C101" s="16"/>
      <c r="D101" s="16"/>
    </row>
    <row r="102" spans="1:4" x14ac:dyDescent="0.25">
      <c r="A102" s="16" t="s">
        <v>1203</v>
      </c>
      <c r="B102" s="16">
        <v>1256</v>
      </c>
      <c r="C102" s="16"/>
      <c r="D102" s="16"/>
    </row>
    <row r="103" spans="1:4" x14ac:dyDescent="0.25">
      <c r="A103" s="16" t="s">
        <v>1204</v>
      </c>
      <c r="B103" s="16">
        <v>1257</v>
      </c>
      <c r="C103" s="16"/>
      <c r="D103" s="16"/>
    </row>
    <row r="104" spans="1:4" x14ac:dyDescent="0.25">
      <c r="A104" s="16" t="s">
        <v>1205</v>
      </c>
      <c r="B104" s="16">
        <v>1258</v>
      </c>
      <c r="C104" s="16"/>
      <c r="D104" s="16"/>
    </row>
    <row r="105" spans="1:4" x14ac:dyDescent="0.25">
      <c r="A105" s="16" t="s">
        <v>1206</v>
      </c>
      <c r="B105" s="16">
        <v>1259</v>
      </c>
      <c r="C105" s="16"/>
      <c r="D105" s="16"/>
    </row>
    <row r="106" spans="1:4" x14ac:dyDescent="0.25">
      <c r="A106" s="16" t="s">
        <v>1207</v>
      </c>
      <c r="B106" s="16">
        <v>1260</v>
      </c>
      <c r="C106" s="16"/>
      <c r="D106" s="16"/>
    </row>
    <row r="107" spans="1:4" x14ac:dyDescent="0.25">
      <c r="A107" s="16" t="s">
        <v>1208</v>
      </c>
      <c r="B107" s="16">
        <v>1261</v>
      </c>
      <c r="C107" s="16"/>
      <c r="D107" s="16"/>
    </row>
    <row r="108" spans="1:4" x14ac:dyDescent="0.25">
      <c r="A108" s="16" t="s">
        <v>1209</v>
      </c>
      <c r="B108" s="16">
        <v>1262</v>
      </c>
      <c r="C108" s="16"/>
      <c r="D108" s="16"/>
    </row>
    <row r="109" spans="1:4" x14ac:dyDescent="0.25">
      <c r="A109" s="16" t="s">
        <v>1210</v>
      </c>
      <c r="B109" s="16">
        <v>1263</v>
      </c>
      <c r="C109" s="16"/>
      <c r="D109" s="16"/>
    </row>
    <row r="110" spans="1:4" x14ac:dyDescent="0.25">
      <c r="A110" s="16" t="s">
        <v>1211</v>
      </c>
      <c r="B110" s="16">
        <v>1264</v>
      </c>
      <c r="C110" s="16"/>
      <c r="D110" s="16"/>
    </row>
    <row r="111" spans="1:4" x14ac:dyDescent="0.25">
      <c r="A111" s="16" t="s">
        <v>1212</v>
      </c>
      <c r="B111" s="16">
        <v>1265</v>
      </c>
      <c r="C111" s="16"/>
      <c r="D111" s="16"/>
    </row>
    <row r="112" spans="1:4" x14ac:dyDescent="0.25">
      <c r="A112" s="16" t="s">
        <v>1213</v>
      </c>
      <c r="B112" s="16">
        <v>1266</v>
      </c>
      <c r="C112" s="16"/>
      <c r="D112" s="16"/>
    </row>
    <row r="113" spans="1:4" x14ac:dyDescent="0.25">
      <c r="A113" s="16" t="s">
        <v>1214</v>
      </c>
      <c r="B113" s="16">
        <v>1267</v>
      </c>
      <c r="C113" s="16"/>
      <c r="D113" s="16"/>
    </row>
    <row r="114" spans="1:4" x14ac:dyDescent="0.25">
      <c r="A114" s="16" t="s">
        <v>1215</v>
      </c>
      <c r="B114" s="16">
        <v>1268</v>
      </c>
      <c r="C114" s="16"/>
      <c r="D114" s="16"/>
    </row>
    <row r="115" spans="1:4" x14ac:dyDescent="0.25">
      <c r="A115" s="16" t="s">
        <v>1216</v>
      </c>
      <c r="B115" s="16">
        <v>1269</v>
      </c>
      <c r="C115" s="16"/>
      <c r="D115" s="16"/>
    </row>
    <row r="116" spans="1:4" x14ac:dyDescent="0.25">
      <c r="A116" s="16" t="s">
        <v>1217</v>
      </c>
      <c r="B116" s="16">
        <v>1270</v>
      </c>
      <c r="C116" s="16"/>
      <c r="D116" s="16"/>
    </row>
    <row r="117" spans="1:4" x14ac:dyDescent="0.25">
      <c r="A117" s="16" t="s">
        <v>1218</v>
      </c>
      <c r="B117" s="16">
        <v>1271</v>
      </c>
      <c r="C117" s="16"/>
      <c r="D117" s="16"/>
    </row>
    <row r="118" spans="1:4" x14ac:dyDescent="0.25">
      <c r="A118" s="16" t="s">
        <v>1219</v>
      </c>
      <c r="B118" s="16">
        <v>1272</v>
      </c>
      <c r="C118" s="16"/>
      <c r="D118" s="16"/>
    </row>
    <row r="119" spans="1:4" x14ac:dyDescent="0.25">
      <c r="A119" s="16" t="s">
        <v>1220</v>
      </c>
      <c r="B119" s="16">
        <v>1273</v>
      </c>
      <c r="C119" s="16"/>
      <c r="D119" s="16"/>
    </row>
    <row r="120" spans="1:4" x14ac:dyDescent="0.25">
      <c r="A120" s="16" t="s">
        <v>1221</v>
      </c>
      <c r="B120" s="16">
        <v>1274</v>
      </c>
      <c r="C120" s="16"/>
      <c r="D120" s="16"/>
    </row>
    <row r="121" spans="1:4" x14ac:dyDescent="0.25">
      <c r="A121" s="16" t="s">
        <v>1222</v>
      </c>
      <c r="B121" s="16">
        <v>1275</v>
      </c>
      <c r="C121" s="16"/>
      <c r="D121" s="16"/>
    </row>
    <row r="122" spans="1:4" x14ac:dyDescent="0.25">
      <c r="A122" s="16" t="s">
        <v>1223</v>
      </c>
      <c r="B122" s="16">
        <v>1276</v>
      </c>
      <c r="C122" s="16"/>
      <c r="D122" s="16"/>
    </row>
    <row r="123" spans="1:4" x14ac:dyDescent="0.25">
      <c r="A123" s="16" t="s">
        <v>1224</v>
      </c>
      <c r="B123" s="16">
        <v>1277</v>
      </c>
      <c r="C123" s="16"/>
      <c r="D123" s="16"/>
    </row>
    <row r="124" spans="1:4" x14ac:dyDescent="0.25">
      <c r="A124" s="16" t="s">
        <v>1225</v>
      </c>
      <c r="B124" s="16">
        <v>1278</v>
      </c>
      <c r="C124" s="16"/>
      <c r="D124" s="16"/>
    </row>
    <row r="125" spans="1:4" x14ac:dyDescent="0.25">
      <c r="A125" s="16" t="s">
        <v>1226</v>
      </c>
      <c r="B125" s="16">
        <v>1279</v>
      </c>
      <c r="C125" s="16"/>
      <c r="D125" s="16"/>
    </row>
    <row r="126" spans="1:4" x14ac:dyDescent="0.25">
      <c r="A126" s="16" t="s">
        <v>1227</v>
      </c>
      <c r="B126" s="16">
        <v>1280</v>
      </c>
      <c r="C126" s="16"/>
      <c r="D126" s="16"/>
    </row>
    <row r="127" spans="1:4" x14ac:dyDescent="0.25">
      <c r="A127" s="16" t="s">
        <v>1228</v>
      </c>
      <c r="B127" s="16">
        <v>1281</v>
      </c>
      <c r="C127" s="16"/>
      <c r="D127" s="16"/>
    </row>
    <row r="128" spans="1:4" x14ac:dyDescent="0.25">
      <c r="A128" s="16" t="s">
        <v>1229</v>
      </c>
      <c r="B128" s="16">
        <v>1282</v>
      </c>
      <c r="C128" s="16"/>
      <c r="D128" s="16"/>
    </row>
    <row r="129" spans="3:4" x14ac:dyDescent="0.25">
      <c r="C129" s="16"/>
      <c r="D129" s="16"/>
    </row>
    <row r="130" spans="3:4" x14ac:dyDescent="0.25">
      <c r="C130" s="16"/>
      <c r="D130" s="16"/>
    </row>
    <row r="131" spans="3:4" x14ac:dyDescent="0.25">
      <c r="C131" s="16"/>
      <c r="D131" s="16"/>
    </row>
    <row r="132" spans="3:4" x14ac:dyDescent="0.25">
      <c r="C132" s="16"/>
      <c r="D132" s="16"/>
    </row>
    <row r="133" spans="3:4" x14ac:dyDescent="0.25">
      <c r="C133" s="16"/>
      <c r="D133" s="16"/>
    </row>
    <row r="134" spans="3:4" x14ac:dyDescent="0.25">
      <c r="C134" s="16"/>
      <c r="D134" s="16"/>
    </row>
    <row r="135" spans="3:4" x14ac:dyDescent="0.25">
      <c r="C135" s="16"/>
      <c r="D135" s="16"/>
    </row>
    <row r="136" spans="3:4" x14ac:dyDescent="0.25">
      <c r="C136" s="16"/>
      <c r="D136" s="16"/>
    </row>
    <row r="137" spans="3:4" x14ac:dyDescent="0.25">
      <c r="C137" s="16"/>
      <c r="D137" s="16"/>
    </row>
    <row r="138" spans="3:4" x14ac:dyDescent="0.25">
      <c r="C138" s="16"/>
      <c r="D138" s="16"/>
    </row>
    <row r="139" spans="3:4" x14ac:dyDescent="0.25">
      <c r="C139" s="16"/>
      <c r="D139" s="16"/>
    </row>
    <row r="140" spans="3:4" x14ac:dyDescent="0.25">
      <c r="C140" s="16"/>
      <c r="D140" s="16"/>
    </row>
    <row r="141" spans="3:4" x14ac:dyDescent="0.25">
      <c r="C141" s="16"/>
      <c r="D141" s="16"/>
    </row>
    <row r="142" spans="3:4" x14ac:dyDescent="0.25">
      <c r="C142" s="16"/>
      <c r="D142" s="16"/>
    </row>
    <row r="143" spans="3:4" x14ac:dyDescent="0.25">
      <c r="C143" s="16"/>
      <c r="D143" s="16"/>
    </row>
    <row r="144" spans="3:4" x14ac:dyDescent="0.25">
      <c r="C144" s="16"/>
      <c r="D144" s="16"/>
    </row>
    <row r="145" spans="3:4" x14ac:dyDescent="0.25">
      <c r="C145" s="16"/>
      <c r="D145" s="16"/>
    </row>
    <row r="146" spans="3:4" x14ac:dyDescent="0.25">
      <c r="C146" s="16"/>
      <c r="D146" s="16"/>
    </row>
    <row r="147" spans="3:4" x14ac:dyDescent="0.25">
      <c r="C147" s="16"/>
      <c r="D147" s="16"/>
    </row>
    <row r="148" spans="3:4" x14ac:dyDescent="0.25">
      <c r="C148" s="16"/>
      <c r="D148" s="16"/>
    </row>
    <row r="149" spans="3:4" x14ac:dyDescent="0.25">
      <c r="C149" s="16"/>
      <c r="D149" s="16"/>
    </row>
    <row r="150" spans="3:4" x14ac:dyDescent="0.25">
      <c r="C150" s="16"/>
      <c r="D150" s="16"/>
    </row>
    <row r="151" spans="3:4" x14ac:dyDescent="0.25">
      <c r="C151" s="16"/>
      <c r="D151" s="16"/>
    </row>
    <row r="152" spans="3:4" x14ac:dyDescent="0.25">
      <c r="C152" s="16"/>
      <c r="D152" s="16"/>
    </row>
    <row r="153" spans="3:4" x14ac:dyDescent="0.25">
      <c r="C153" s="16"/>
      <c r="D153" s="16"/>
    </row>
    <row r="154" spans="3:4" x14ac:dyDescent="0.25">
      <c r="C154" s="16"/>
      <c r="D154" s="16"/>
    </row>
    <row r="155" spans="3:4" x14ac:dyDescent="0.25">
      <c r="C155" s="16"/>
      <c r="D155" s="16"/>
    </row>
    <row r="156" spans="3:4" x14ac:dyDescent="0.25">
      <c r="C156" s="16"/>
      <c r="D156" s="16"/>
    </row>
    <row r="157" spans="3:4" x14ac:dyDescent="0.25">
      <c r="C157" s="16"/>
      <c r="D157" s="16"/>
    </row>
    <row r="158" spans="3:4" x14ac:dyDescent="0.25">
      <c r="C158" s="16"/>
      <c r="D158" s="16"/>
    </row>
    <row r="159" spans="3:4" x14ac:dyDescent="0.25">
      <c r="C159" s="16"/>
      <c r="D159" s="16"/>
    </row>
    <row r="160" spans="3:4" x14ac:dyDescent="0.25">
      <c r="C160" s="16"/>
      <c r="D160" s="16"/>
    </row>
    <row r="161" spans="3:4" x14ac:dyDescent="0.25">
      <c r="C161" s="16"/>
      <c r="D161" s="16"/>
    </row>
    <row r="162" spans="3:4" x14ac:dyDescent="0.25">
      <c r="C162" s="16"/>
      <c r="D162" s="16"/>
    </row>
    <row r="163" spans="3:4" x14ac:dyDescent="0.25">
      <c r="C163" s="16"/>
      <c r="D163" s="16"/>
    </row>
    <row r="164" spans="3:4" x14ac:dyDescent="0.25">
      <c r="C164" s="16"/>
      <c r="D164" s="16"/>
    </row>
    <row r="165" spans="3:4" x14ac:dyDescent="0.25">
      <c r="C165" s="16"/>
      <c r="D165" s="16"/>
    </row>
    <row r="166" spans="3:4" x14ac:dyDescent="0.25">
      <c r="C166" s="16"/>
      <c r="D166" s="16"/>
    </row>
    <row r="167" spans="3:4" x14ac:dyDescent="0.25">
      <c r="C167" s="16"/>
      <c r="D167" s="16"/>
    </row>
    <row r="168" spans="3:4" x14ac:dyDescent="0.25">
      <c r="C168" s="16"/>
      <c r="D168" s="16"/>
    </row>
    <row r="169" spans="3:4" x14ac:dyDescent="0.25">
      <c r="C169" s="16"/>
      <c r="D169" s="16"/>
    </row>
    <row r="170" spans="3:4" x14ac:dyDescent="0.25">
      <c r="C170" s="16"/>
      <c r="D170" s="16"/>
    </row>
    <row r="171" spans="3:4" x14ac:dyDescent="0.25">
      <c r="C171" s="16"/>
      <c r="D171" s="16"/>
    </row>
    <row r="172" spans="3:4" x14ac:dyDescent="0.25">
      <c r="C172" s="16"/>
      <c r="D172" s="16"/>
    </row>
    <row r="173" spans="3:4" x14ac:dyDescent="0.25">
      <c r="C173" s="16"/>
      <c r="D173" s="16"/>
    </row>
    <row r="174" spans="3:4" x14ac:dyDescent="0.25">
      <c r="C174" s="16"/>
      <c r="D174" s="16"/>
    </row>
    <row r="175" spans="3:4" x14ac:dyDescent="0.25">
      <c r="C175" s="16"/>
      <c r="D175" s="16"/>
    </row>
    <row r="176" spans="3:4" x14ac:dyDescent="0.25">
      <c r="C176" s="16"/>
      <c r="D176" s="16"/>
    </row>
    <row r="177" spans="3:4" x14ac:dyDescent="0.25">
      <c r="C177" s="16"/>
      <c r="D177" s="16"/>
    </row>
    <row r="178" spans="3:4" x14ac:dyDescent="0.25">
      <c r="C178" s="16"/>
      <c r="D178" s="16"/>
    </row>
    <row r="179" spans="3:4" x14ac:dyDescent="0.25">
      <c r="C179" s="16"/>
      <c r="D179" s="16"/>
    </row>
    <row r="180" spans="3:4" x14ac:dyDescent="0.25">
      <c r="C180" s="16"/>
      <c r="D180" s="16"/>
    </row>
    <row r="181" spans="3:4" x14ac:dyDescent="0.25">
      <c r="C181" s="16"/>
      <c r="D181" s="16"/>
    </row>
    <row r="182" spans="3:4" x14ac:dyDescent="0.25">
      <c r="C182" s="16"/>
      <c r="D182" s="16"/>
    </row>
    <row r="183" spans="3:4" x14ac:dyDescent="0.25">
      <c r="C183" s="16"/>
      <c r="D183" s="16"/>
    </row>
    <row r="184" spans="3:4" x14ac:dyDescent="0.25">
      <c r="C184" s="16"/>
      <c r="D184" s="16"/>
    </row>
    <row r="185" spans="3:4" x14ac:dyDescent="0.25">
      <c r="C185" s="16"/>
      <c r="D185" s="16"/>
    </row>
    <row r="186" spans="3:4" x14ac:dyDescent="0.25">
      <c r="C186" s="16"/>
      <c r="D186" s="16"/>
    </row>
    <row r="187" spans="3:4" x14ac:dyDescent="0.25">
      <c r="C187" s="16"/>
      <c r="D187" s="16"/>
    </row>
    <row r="188" spans="3:4" x14ac:dyDescent="0.25">
      <c r="C188" s="16"/>
      <c r="D188" s="16"/>
    </row>
    <row r="189" spans="3:4" x14ac:dyDescent="0.25">
      <c r="C189" s="16"/>
      <c r="D189" s="16"/>
    </row>
    <row r="190" spans="3:4" x14ac:dyDescent="0.25">
      <c r="C190" s="16"/>
      <c r="D190" s="16"/>
    </row>
    <row r="191" spans="3:4" x14ac:dyDescent="0.25">
      <c r="C191" s="16"/>
      <c r="D191" s="16"/>
    </row>
    <row r="192" spans="3:4" x14ac:dyDescent="0.25">
      <c r="C192" s="16"/>
      <c r="D192" s="16"/>
    </row>
    <row r="193" spans="3:4" x14ac:dyDescent="0.25">
      <c r="C193" s="16"/>
      <c r="D193" s="16"/>
    </row>
    <row r="194" spans="3:4" x14ac:dyDescent="0.25">
      <c r="C194" s="16"/>
      <c r="D194" s="16"/>
    </row>
    <row r="195" spans="3:4" x14ac:dyDescent="0.25">
      <c r="C195" s="16"/>
      <c r="D195" s="16"/>
    </row>
    <row r="196" spans="3:4" x14ac:dyDescent="0.25">
      <c r="C196" s="16"/>
      <c r="D196" s="16"/>
    </row>
    <row r="197" spans="3:4" x14ac:dyDescent="0.25">
      <c r="C197" s="16"/>
      <c r="D197" s="16"/>
    </row>
    <row r="198" spans="3:4" x14ac:dyDescent="0.25">
      <c r="C198" s="16"/>
      <c r="D198" s="16"/>
    </row>
    <row r="199" spans="3:4" x14ac:dyDescent="0.25">
      <c r="C199" s="16"/>
      <c r="D199" s="16"/>
    </row>
    <row r="200" spans="3:4" x14ac:dyDescent="0.25">
      <c r="C200" s="16"/>
      <c r="D200" s="16"/>
    </row>
    <row r="201" spans="3:4" x14ac:dyDescent="0.25">
      <c r="C201" s="16"/>
      <c r="D201" s="16"/>
    </row>
    <row r="202" spans="3:4" x14ac:dyDescent="0.25">
      <c r="C202" s="16"/>
      <c r="D202" s="16"/>
    </row>
    <row r="203" spans="3:4" x14ac:dyDescent="0.25">
      <c r="C203" s="16"/>
      <c r="D203" s="16"/>
    </row>
    <row r="204" spans="3:4" x14ac:dyDescent="0.25">
      <c r="C204" s="16"/>
      <c r="D204" s="16"/>
    </row>
    <row r="205" spans="3:4" x14ac:dyDescent="0.25">
      <c r="C205" s="16"/>
      <c r="D205" s="16"/>
    </row>
    <row r="206" spans="3:4" x14ac:dyDescent="0.25">
      <c r="C206" s="16"/>
      <c r="D206" s="16"/>
    </row>
    <row r="207" spans="3:4" x14ac:dyDescent="0.25">
      <c r="C207" s="16"/>
      <c r="D207" s="16"/>
    </row>
    <row r="208" spans="3:4" x14ac:dyDescent="0.25">
      <c r="C208" s="16"/>
      <c r="D208" s="16"/>
    </row>
    <row r="209" spans="3:4" x14ac:dyDescent="0.25">
      <c r="C209" s="16"/>
      <c r="D209" s="16"/>
    </row>
    <row r="210" spans="3:4" x14ac:dyDescent="0.25">
      <c r="C210" s="16"/>
      <c r="D210" s="16"/>
    </row>
    <row r="211" spans="3:4" x14ac:dyDescent="0.25">
      <c r="C211" s="16"/>
      <c r="D211" s="16"/>
    </row>
    <row r="212" spans="3:4" x14ac:dyDescent="0.25">
      <c r="C212" s="16"/>
      <c r="D212" s="16"/>
    </row>
    <row r="213" spans="3:4" x14ac:dyDescent="0.25">
      <c r="C213" s="16"/>
      <c r="D213" s="16"/>
    </row>
    <row r="214" spans="3:4" x14ac:dyDescent="0.25">
      <c r="C214" s="16"/>
      <c r="D214" s="16"/>
    </row>
    <row r="215" spans="3:4" x14ac:dyDescent="0.25">
      <c r="C215" s="16"/>
      <c r="D215" s="16"/>
    </row>
    <row r="216" spans="3:4" x14ac:dyDescent="0.25">
      <c r="C216" s="16"/>
      <c r="D216" s="16"/>
    </row>
    <row r="217" spans="3:4" x14ac:dyDescent="0.25">
      <c r="C217" s="16"/>
      <c r="D217" s="16"/>
    </row>
    <row r="218" spans="3:4" x14ac:dyDescent="0.25">
      <c r="C218" s="16"/>
      <c r="D218" s="16"/>
    </row>
    <row r="219" spans="3:4" x14ac:dyDescent="0.25">
      <c r="C219" s="16"/>
      <c r="D219" s="16"/>
    </row>
    <row r="220" spans="3:4" x14ac:dyDescent="0.25">
      <c r="C220" s="16"/>
      <c r="D220" s="16"/>
    </row>
    <row r="221" spans="3:4" x14ac:dyDescent="0.25">
      <c r="C221" s="16"/>
      <c r="D221" s="16"/>
    </row>
    <row r="222" spans="3:4" x14ac:dyDescent="0.25">
      <c r="C222" s="16"/>
      <c r="D222" s="16"/>
    </row>
    <row r="223" spans="3:4" x14ac:dyDescent="0.25">
      <c r="C223" s="16"/>
      <c r="D223" s="16"/>
    </row>
    <row r="224" spans="3:4" x14ac:dyDescent="0.25">
      <c r="C224" s="16"/>
      <c r="D224" s="16"/>
    </row>
    <row r="225" spans="3:4" x14ac:dyDescent="0.25">
      <c r="C225" s="16"/>
      <c r="D225" s="16"/>
    </row>
    <row r="226" spans="3:4" x14ac:dyDescent="0.25">
      <c r="C226" s="16"/>
      <c r="D226" s="16"/>
    </row>
    <row r="227" spans="3:4" x14ac:dyDescent="0.25">
      <c r="C227" s="16"/>
      <c r="D227" s="16"/>
    </row>
    <row r="228" spans="3:4" x14ac:dyDescent="0.25">
      <c r="C228" s="16"/>
      <c r="D228" s="16"/>
    </row>
    <row r="229" spans="3:4" x14ac:dyDescent="0.25">
      <c r="C229" s="16"/>
      <c r="D229" s="16"/>
    </row>
    <row r="230" spans="3:4" x14ac:dyDescent="0.25">
      <c r="C230" s="16"/>
      <c r="D230" s="16"/>
    </row>
    <row r="231" spans="3:4" x14ac:dyDescent="0.25">
      <c r="C231" s="16"/>
      <c r="D231" s="16"/>
    </row>
    <row r="232" spans="3:4" x14ac:dyDescent="0.25">
      <c r="C232" s="16"/>
      <c r="D232" s="16"/>
    </row>
    <row r="233" spans="3:4" x14ac:dyDescent="0.25">
      <c r="C233" s="16"/>
      <c r="D233" s="16"/>
    </row>
    <row r="234" spans="3:4" x14ac:dyDescent="0.25">
      <c r="C234" s="16"/>
      <c r="D234" s="16"/>
    </row>
    <row r="235" spans="3:4" x14ac:dyDescent="0.25">
      <c r="C235" s="16"/>
      <c r="D235" s="16"/>
    </row>
    <row r="236" spans="3:4" x14ac:dyDescent="0.25">
      <c r="C236" s="16"/>
      <c r="D236" s="16"/>
    </row>
    <row r="237" spans="3:4" x14ac:dyDescent="0.25">
      <c r="C237" s="16"/>
      <c r="D237" s="16"/>
    </row>
    <row r="238" spans="3:4" x14ac:dyDescent="0.25">
      <c r="C238" s="16"/>
      <c r="D238" s="16"/>
    </row>
    <row r="239" spans="3:4" x14ac:dyDescent="0.25">
      <c r="C239" s="16"/>
      <c r="D239" s="16"/>
    </row>
    <row r="240" spans="3:4" x14ac:dyDescent="0.25">
      <c r="C240" s="16"/>
      <c r="D240" s="16"/>
    </row>
    <row r="241" spans="3:4" x14ac:dyDescent="0.25">
      <c r="C241" s="16"/>
      <c r="D241" s="16"/>
    </row>
    <row r="242" spans="3:4" x14ac:dyDescent="0.25">
      <c r="C242" s="16"/>
      <c r="D242" s="16"/>
    </row>
    <row r="243" spans="3:4" x14ac:dyDescent="0.25">
      <c r="C243" s="16"/>
      <c r="D243" s="16"/>
    </row>
    <row r="244" spans="3:4" x14ac:dyDescent="0.25">
      <c r="C244" s="16"/>
      <c r="D244" s="16"/>
    </row>
    <row r="245" spans="3:4" x14ac:dyDescent="0.25">
      <c r="C245" s="16"/>
      <c r="D245" s="16"/>
    </row>
    <row r="246" spans="3:4" x14ac:dyDescent="0.25">
      <c r="C246" s="16"/>
      <c r="D246" s="16"/>
    </row>
    <row r="247" spans="3:4" x14ac:dyDescent="0.25">
      <c r="C247" s="16"/>
      <c r="D247" s="16"/>
    </row>
    <row r="248" spans="3:4" x14ac:dyDescent="0.25">
      <c r="C248" s="16"/>
      <c r="D248" s="16"/>
    </row>
    <row r="249" spans="3:4" x14ac:dyDescent="0.25">
      <c r="C249" s="16"/>
      <c r="D249" s="16"/>
    </row>
    <row r="250" spans="3:4" x14ac:dyDescent="0.25">
      <c r="C250" s="16"/>
      <c r="D250" s="16"/>
    </row>
    <row r="251" spans="3:4" x14ac:dyDescent="0.25">
      <c r="C251" s="16"/>
      <c r="D251" s="16"/>
    </row>
    <row r="252" spans="3:4" x14ac:dyDescent="0.25">
      <c r="C252" s="16"/>
      <c r="D252" s="16"/>
    </row>
    <row r="253" spans="3:4" x14ac:dyDescent="0.25">
      <c r="C253" s="16"/>
      <c r="D253" s="16"/>
    </row>
    <row r="254" spans="3:4" x14ac:dyDescent="0.25">
      <c r="C254" s="16"/>
      <c r="D254" s="16"/>
    </row>
    <row r="255" spans="3:4" x14ac:dyDescent="0.25">
      <c r="C255" s="16"/>
      <c r="D255" s="16"/>
    </row>
    <row r="256" spans="3:4" x14ac:dyDescent="0.25">
      <c r="C256" s="16"/>
      <c r="D256" s="16"/>
    </row>
    <row r="257" spans="3:4" x14ac:dyDescent="0.25">
      <c r="C257" s="16"/>
      <c r="D257" s="16"/>
    </row>
    <row r="258" spans="3:4" x14ac:dyDescent="0.25">
      <c r="C258" s="16"/>
      <c r="D258" s="16"/>
    </row>
    <row r="259" spans="3:4" x14ac:dyDescent="0.25">
      <c r="C259" s="16"/>
      <c r="D259" s="16"/>
    </row>
    <row r="260" spans="3:4" x14ac:dyDescent="0.25">
      <c r="C260" s="16"/>
      <c r="D260" s="16"/>
    </row>
    <row r="261" spans="3:4" x14ac:dyDescent="0.25">
      <c r="C261" s="16"/>
      <c r="D261" s="16"/>
    </row>
    <row r="262" spans="3:4" x14ac:dyDescent="0.25">
      <c r="C262" s="16"/>
      <c r="D262" s="16"/>
    </row>
    <row r="263" spans="3:4" x14ac:dyDescent="0.25">
      <c r="C263" s="16"/>
      <c r="D263" s="16"/>
    </row>
    <row r="264" spans="3:4" x14ac:dyDescent="0.25">
      <c r="C264" s="16"/>
      <c r="D264" s="16"/>
    </row>
    <row r="265" spans="3:4" x14ac:dyDescent="0.25">
      <c r="C265" s="16"/>
      <c r="D265" s="16"/>
    </row>
    <row r="266" spans="3:4" x14ac:dyDescent="0.25">
      <c r="C266" s="16"/>
      <c r="D266" s="16"/>
    </row>
    <row r="267" spans="3:4" x14ac:dyDescent="0.25">
      <c r="C267" s="16"/>
      <c r="D267" s="16"/>
    </row>
    <row r="268" spans="3:4" x14ac:dyDescent="0.25">
      <c r="C268" s="16"/>
      <c r="D268" s="16"/>
    </row>
    <row r="269" spans="3:4" x14ac:dyDescent="0.25">
      <c r="C269" s="16"/>
      <c r="D269" s="16"/>
    </row>
    <row r="270" spans="3:4" x14ac:dyDescent="0.25">
      <c r="C270" s="16"/>
      <c r="D270" s="16"/>
    </row>
    <row r="271" spans="3:4" x14ac:dyDescent="0.25">
      <c r="C271" s="16"/>
      <c r="D271" s="16"/>
    </row>
    <row r="272" spans="3:4" x14ac:dyDescent="0.25">
      <c r="C272" s="16"/>
      <c r="D272" s="16"/>
    </row>
    <row r="273" spans="3:4" x14ac:dyDescent="0.25">
      <c r="C273" s="16"/>
      <c r="D273" s="16"/>
    </row>
    <row r="274" spans="3:4" x14ac:dyDescent="0.25">
      <c r="C274" s="16"/>
      <c r="D274" s="16"/>
    </row>
    <row r="275" spans="3:4" x14ac:dyDescent="0.25">
      <c r="C275" s="16"/>
      <c r="D275" s="16"/>
    </row>
    <row r="276" spans="3:4" x14ac:dyDescent="0.25">
      <c r="C276" s="16"/>
      <c r="D276" s="16"/>
    </row>
    <row r="277" spans="3:4" x14ac:dyDescent="0.25">
      <c r="C277" s="16"/>
      <c r="D277" s="16"/>
    </row>
    <row r="278" spans="3:4" x14ac:dyDescent="0.25">
      <c r="C278" s="16"/>
      <c r="D278" s="16"/>
    </row>
    <row r="279" spans="3:4" x14ac:dyDescent="0.25">
      <c r="C279" s="16"/>
      <c r="D279" s="16"/>
    </row>
    <row r="280" spans="3:4" x14ac:dyDescent="0.25">
      <c r="C280" s="16"/>
      <c r="D280" s="16"/>
    </row>
    <row r="281" spans="3:4" x14ac:dyDescent="0.25">
      <c r="C281" s="16"/>
      <c r="D281" s="16"/>
    </row>
    <row r="282" spans="3:4" x14ac:dyDescent="0.25">
      <c r="C282" s="16"/>
      <c r="D282" s="16"/>
    </row>
    <row r="283" spans="3:4" x14ac:dyDescent="0.25">
      <c r="C283" s="16"/>
      <c r="D283" s="16"/>
    </row>
    <row r="284" spans="3:4" x14ac:dyDescent="0.25">
      <c r="C284" s="16"/>
      <c r="D284" s="16"/>
    </row>
    <row r="285" spans="3:4" x14ac:dyDescent="0.25">
      <c r="C285" s="16"/>
      <c r="D285" s="16"/>
    </row>
    <row r="286" spans="3:4" x14ac:dyDescent="0.25">
      <c r="C286" s="16"/>
      <c r="D286" s="16"/>
    </row>
    <row r="287" spans="3:4" x14ac:dyDescent="0.25">
      <c r="C287" s="16"/>
      <c r="D287" s="16"/>
    </row>
    <row r="288" spans="3:4" x14ac:dyDescent="0.25">
      <c r="C288" s="16"/>
      <c r="D288" s="16"/>
    </row>
    <row r="289" spans="3:4" x14ac:dyDescent="0.25">
      <c r="C289" s="16"/>
      <c r="D289" s="16"/>
    </row>
    <row r="290" spans="3:4" x14ac:dyDescent="0.25">
      <c r="C290" s="16"/>
      <c r="D290" s="16"/>
    </row>
    <row r="291" spans="3:4" x14ac:dyDescent="0.25">
      <c r="C291" s="16"/>
      <c r="D291" s="16"/>
    </row>
    <row r="292" spans="3:4" x14ac:dyDescent="0.25">
      <c r="C292" s="16"/>
      <c r="D292" s="16"/>
    </row>
    <row r="293" spans="3:4" x14ac:dyDescent="0.25">
      <c r="C293" s="16"/>
      <c r="D293" s="16"/>
    </row>
    <row r="294" spans="3:4" x14ac:dyDescent="0.25">
      <c r="C294" s="16"/>
      <c r="D294" s="16"/>
    </row>
    <row r="295" spans="3:4" x14ac:dyDescent="0.25">
      <c r="C295" s="16"/>
      <c r="D295" s="16"/>
    </row>
    <row r="296" spans="3:4" x14ac:dyDescent="0.25">
      <c r="C296" s="16"/>
      <c r="D296" s="16"/>
    </row>
    <row r="297" spans="3:4" x14ac:dyDescent="0.25">
      <c r="C297" s="16"/>
      <c r="D297" s="16"/>
    </row>
    <row r="298" spans="3:4" x14ac:dyDescent="0.25">
      <c r="C298" s="16"/>
      <c r="D298" s="16"/>
    </row>
    <row r="299" spans="3:4" x14ac:dyDescent="0.25">
      <c r="C299" s="16"/>
      <c r="D299" s="16"/>
    </row>
    <row r="300" spans="3:4" x14ac:dyDescent="0.25">
      <c r="C300" s="16"/>
      <c r="D300" s="16"/>
    </row>
    <row r="301" spans="3:4" x14ac:dyDescent="0.25">
      <c r="C301" s="16"/>
      <c r="D301" s="16"/>
    </row>
    <row r="302" spans="3:4" x14ac:dyDescent="0.25">
      <c r="C302" s="16"/>
      <c r="D302" s="16"/>
    </row>
    <row r="303" spans="3:4" x14ac:dyDescent="0.25">
      <c r="C303" s="16"/>
      <c r="D303" s="16"/>
    </row>
    <row r="304" spans="3:4" x14ac:dyDescent="0.25">
      <c r="C304" s="16"/>
      <c r="D304" s="16"/>
    </row>
    <row r="305" spans="3:4" x14ac:dyDescent="0.25">
      <c r="C305" s="16"/>
      <c r="D305" s="16"/>
    </row>
    <row r="306" spans="3:4" x14ac:dyDescent="0.25">
      <c r="C306" s="16"/>
      <c r="D306" s="16"/>
    </row>
    <row r="307" spans="3:4" x14ac:dyDescent="0.25">
      <c r="C307" s="16"/>
      <c r="D307" s="16"/>
    </row>
    <row r="308" spans="3:4" x14ac:dyDescent="0.25">
      <c r="C308" s="16"/>
      <c r="D308" s="16"/>
    </row>
    <row r="309" spans="3:4" x14ac:dyDescent="0.25">
      <c r="C309" s="16"/>
      <c r="D309" s="16"/>
    </row>
    <row r="310" spans="3:4" x14ac:dyDescent="0.25">
      <c r="C310" s="16"/>
      <c r="D310" s="16"/>
    </row>
    <row r="311" spans="3:4" x14ac:dyDescent="0.25">
      <c r="C311" s="16"/>
      <c r="D311" s="16"/>
    </row>
    <row r="312" spans="3:4" x14ac:dyDescent="0.25">
      <c r="C312" s="16"/>
      <c r="D312" s="16"/>
    </row>
    <row r="313" spans="3:4" x14ac:dyDescent="0.25">
      <c r="C313" s="16"/>
      <c r="D313" s="16"/>
    </row>
    <row r="314" spans="3:4" x14ac:dyDescent="0.25">
      <c r="C314" s="16"/>
      <c r="D314" s="16"/>
    </row>
    <row r="315" spans="3:4" x14ac:dyDescent="0.25">
      <c r="C315" s="16"/>
      <c r="D315" s="16"/>
    </row>
    <row r="316" spans="3:4" x14ac:dyDescent="0.25">
      <c r="C316" s="16"/>
      <c r="D316" s="16"/>
    </row>
    <row r="317" spans="3:4" x14ac:dyDescent="0.25">
      <c r="C317" s="16"/>
      <c r="D317" s="16"/>
    </row>
    <row r="318" spans="3:4" x14ac:dyDescent="0.25">
      <c r="C318" s="16"/>
      <c r="D318" s="16"/>
    </row>
    <row r="319" spans="3:4" x14ac:dyDescent="0.25">
      <c r="C319" s="16"/>
      <c r="D319" s="16"/>
    </row>
    <row r="320" spans="3:4" x14ac:dyDescent="0.25">
      <c r="C320" s="16"/>
      <c r="D320" s="16"/>
    </row>
    <row r="321" spans="3:4" x14ac:dyDescent="0.25">
      <c r="C321" s="16"/>
      <c r="D321" s="16"/>
    </row>
    <row r="322" spans="3:4" x14ac:dyDescent="0.25">
      <c r="C322" s="16"/>
      <c r="D322" s="16"/>
    </row>
    <row r="323" spans="3:4" x14ac:dyDescent="0.25">
      <c r="C323" s="16"/>
      <c r="D323" s="16"/>
    </row>
    <row r="324" spans="3:4" x14ac:dyDescent="0.25">
      <c r="C324" s="16"/>
      <c r="D324" s="16"/>
    </row>
    <row r="325" spans="3:4" x14ac:dyDescent="0.25">
      <c r="C325" s="16"/>
      <c r="D325" s="16"/>
    </row>
    <row r="326" spans="3:4" x14ac:dyDescent="0.25">
      <c r="C326" s="16"/>
      <c r="D326" s="16"/>
    </row>
    <row r="327" spans="3:4" x14ac:dyDescent="0.25">
      <c r="C327" s="16"/>
      <c r="D327" s="16"/>
    </row>
    <row r="328" spans="3:4" x14ac:dyDescent="0.25">
      <c r="C328" s="16"/>
      <c r="D328" s="16"/>
    </row>
    <row r="329" spans="3:4" x14ac:dyDescent="0.25">
      <c r="C329" s="16"/>
      <c r="D329" s="16"/>
    </row>
    <row r="330" spans="3:4" x14ac:dyDescent="0.25">
      <c r="C330" s="16"/>
      <c r="D330" s="16"/>
    </row>
    <row r="331" spans="3:4" x14ac:dyDescent="0.25">
      <c r="C331" s="16"/>
      <c r="D331" s="16"/>
    </row>
    <row r="332" spans="3:4" x14ac:dyDescent="0.25">
      <c r="C332" s="16"/>
      <c r="D332" s="16"/>
    </row>
    <row r="333" spans="3:4" x14ac:dyDescent="0.25">
      <c r="C333" s="16"/>
      <c r="D333" s="16"/>
    </row>
    <row r="334" spans="3:4" x14ac:dyDescent="0.25">
      <c r="C334" s="16"/>
      <c r="D334" s="16"/>
    </row>
    <row r="335" spans="3:4" x14ac:dyDescent="0.25">
      <c r="C335" s="16"/>
      <c r="D335" s="16"/>
    </row>
    <row r="336" spans="3:4" x14ac:dyDescent="0.25">
      <c r="C336" s="16"/>
      <c r="D336" s="16"/>
    </row>
    <row r="337" spans="3:4" x14ac:dyDescent="0.25">
      <c r="C337" s="16"/>
      <c r="D337" s="16"/>
    </row>
    <row r="338" spans="3:4" x14ac:dyDescent="0.25">
      <c r="C338" s="16"/>
      <c r="D338" s="16"/>
    </row>
    <row r="339" spans="3:4" x14ac:dyDescent="0.25">
      <c r="C339" s="16"/>
      <c r="D339" s="16"/>
    </row>
    <row r="340" spans="3:4" x14ac:dyDescent="0.25">
      <c r="C340" s="16"/>
      <c r="D340" s="16"/>
    </row>
    <row r="341" spans="3:4" x14ac:dyDescent="0.25">
      <c r="C341" s="16"/>
      <c r="D341" s="16"/>
    </row>
    <row r="342" spans="3:4" x14ac:dyDescent="0.25">
      <c r="C342" s="16"/>
      <c r="D342" s="16"/>
    </row>
    <row r="343" spans="3:4" x14ac:dyDescent="0.25">
      <c r="C343" s="16"/>
      <c r="D343" s="16"/>
    </row>
    <row r="344" spans="3:4" x14ac:dyDescent="0.25">
      <c r="C344" s="16"/>
      <c r="D344" s="16"/>
    </row>
    <row r="345" spans="3:4" x14ac:dyDescent="0.25">
      <c r="C345" s="16"/>
      <c r="D345" s="16"/>
    </row>
    <row r="346" spans="3:4" x14ac:dyDescent="0.25">
      <c r="C346" s="16"/>
      <c r="D346" s="16"/>
    </row>
    <row r="347" spans="3:4" x14ac:dyDescent="0.25">
      <c r="C347" s="16"/>
      <c r="D347" s="16"/>
    </row>
    <row r="348" spans="3:4" x14ac:dyDescent="0.25">
      <c r="C348" s="16"/>
      <c r="D348" s="16"/>
    </row>
    <row r="349" spans="3:4" x14ac:dyDescent="0.25">
      <c r="C349" s="16"/>
      <c r="D349" s="16"/>
    </row>
    <row r="350" spans="3:4" x14ac:dyDescent="0.25">
      <c r="C350" s="16"/>
      <c r="D350" s="16"/>
    </row>
    <row r="351" spans="3:4" x14ac:dyDescent="0.25">
      <c r="C351" s="16"/>
      <c r="D351" s="16"/>
    </row>
    <row r="352" spans="3:4" x14ac:dyDescent="0.25">
      <c r="C352" s="16"/>
      <c r="D352" s="16"/>
    </row>
    <row r="353" spans="3:4" x14ac:dyDescent="0.25">
      <c r="C353" s="16"/>
      <c r="D353" s="16"/>
    </row>
    <row r="354" spans="3:4" x14ac:dyDescent="0.25">
      <c r="C354" s="16"/>
      <c r="D354" s="16"/>
    </row>
    <row r="355" spans="3:4" x14ac:dyDescent="0.25">
      <c r="C355" s="16"/>
      <c r="D355" s="16"/>
    </row>
    <row r="356" spans="3:4" x14ac:dyDescent="0.25">
      <c r="C356" s="16"/>
      <c r="D356" s="16"/>
    </row>
    <row r="357" spans="3:4" x14ac:dyDescent="0.25">
      <c r="C357" s="16"/>
      <c r="D357" s="16"/>
    </row>
    <row r="358" spans="3:4" x14ac:dyDescent="0.25">
      <c r="C358" s="16"/>
      <c r="D358" s="16"/>
    </row>
    <row r="359" spans="3:4" x14ac:dyDescent="0.25">
      <c r="C359" s="16"/>
      <c r="D359" s="16"/>
    </row>
    <row r="360" spans="3:4" x14ac:dyDescent="0.25">
      <c r="C360" s="16"/>
      <c r="D360" s="16"/>
    </row>
    <row r="361" spans="3:4" x14ac:dyDescent="0.25">
      <c r="C361" s="16"/>
      <c r="D361" s="16"/>
    </row>
    <row r="362" spans="3:4" x14ac:dyDescent="0.25">
      <c r="C362" s="16"/>
      <c r="D362" s="16"/>
    </row>
    <row r="363" spans="3:4" x14ac:dyDescent="0.25">
      <c r="C363" s="16"/>
      <c r="D363" s="16"/>
    </row>
    <row r="364" spans="3:4" x14ac:dyDescent="0.25">
      <c r="C364" s="16"/>
      <c r="D364" s="16"/>
    </row>
    <row r="365" spans="3:4" x14ac:dyDescent="0.25">
      <c r="C365" s="16"/>
      <c r="D365" s="16"/>
    </row>
    <row r="366" spans="3:4" x14ac:dyDescent="0.25">
      <c r="C366" s="16"/>
      <c r="D366" s="16"/>
    </row>
    <row r="367" spans="3:4" x14ac:dyDescent="0.25">
      <c r="C367" s="16"/>
      <c r="D367" s="16"/>
    </row>
    <row r="368" spans="3:4" x14ac:dyDescent="0.25">
      <c r="C368" s="16"/>
      <c r="D368" s="16"/>
    </row>
    <row r="369" spans="3:4" x14ac:dyDescent="0.25">
      <c r="C369" s="16"/>
      <c r="D369" s="16"/>
    </row>
    <row r="370" spans="3:4" x14ac:dyDescent="0.25">
      <c r="C370" s="16"/>
      <c r="D370" s="16"/>
    </row>
    <row r="371" spans="3:4" x14ac:dyDescent="0.25">
      <c r="C371" s="16"/>
      <c r="D371" s="16"/>
    </row>
    <row r="372" spans="3:4" x14ac:dyDescent="0.25">
      <c r="C372" s="16"/>
      <c r="D372" s="16"/>
    </row>
    <row r="373" spans="3:4" x14ac:dyDescent="0.25">
      <c r="C373" s="16"/>
      <c r="D373" s="16"/>
    </row>
    <row r="374" spans="3:4" x14ac:dyDescent="0.25">
      <c r="C374" s="16"/>
      <c r="D374" s="16"/>
    </row>
    <row r="375" spans="3:4" x14ac:dyDescent="0.25">
      <c r="C375" s="16"/>
      <c r="D375" s="16"/>
    </row>
    <row r="376" spans="3:4" x14ac:dyDescent="0.25">
      <c r="C376" s="16"/>
      <c r="D376" s="16"/>
    </row>
    <row r="377" spans="3:4" x14ac:dyDescent="0.25">
      <c r="C377" s="16"/>
      <c r="D377" s="16"/>
    </row>
    <row r="378" spans="3:4" x14ac:dyDescent="0.25">
      <c r="C378" s="16"/>
      <c r="D378" s="16"/>
    </row>
    <row r="379" spans="3:4" x14ac:dyDescent="0.25">
      <c r="C379" s="16"/>
      <c r="D379" s="16"/>
    </row>
    <row r="380" spans="3:4" x14ac:dyDescent="0.25">
      <c r="C380" s="16"/>
      <c r="D380" s="16"/>
    </row>
    <row r="381" spans="3:4" x14ac:dyDescent="0.25">
      <c r="C381" s="16"/>
      <c r="D381" s="16"/>
    </row>
    <row r="382" spans="3:4" x14ac:dyDescent="0.25">
      <c r="C382" s="16"/>
      <c r="D382" s="16"/>
    </row>
    <row r="383" spans="3:4" x14ac:dyDescent="0.25">
      <c r="C383" s="16"/>
      <c r="D383" s="16"/>
    </row>
    <row r="384" spans="3:4" x14ac:dyDescent="0.25">
      <c r="C384" s="16"/>
      <c r="D384" s="16"/>
    </row>
    <row r="385" spans="3:4" x14ac:dyDescent="0.25">
      <c r="C385" s="16"/>
      <c r="D385" s="16"/>
    </row>
    <row r="386" spans="3:4" x14ac:dyDescent="0.25">
      <c r="C386" s="16"/>
      <c r="D386" s="16"/>
    </row>
    <row r="387" spans="3:4" x14ac:dyDescent="0.25">
      <c r="C387" s="16"/>
      <c r="D387" s="16"/>
    </row>
    <row r="388" spans="3:4" x14ac:dyDescent="0.25">
      <c r="C388" s="16"/>
      <c r="D388" s="16"/>
    </row>
    <row r="389" spans="3:4" x14ac:dyDescent="0.25">
      <c r="C389" s="16"/>
      <c r="D389" s="16"/>
    </row>
    <row r="390" spans="3:4" x14ac:dyDescent="0.25">
      <c r="C390" s="16"/>
      <c r="D390" s="16"/>
    </row>
    <row r="391" spans="3:4" x14ac:dyDescent="0.25">
      <c r="C391" s="16"/>
      <c r="D391" s="16"/>
    </row>
    <row r="392" spans="3:4" x14ac:dyDescent="0.25">
      <c r="C392" s="16"/>
      <c r="D392" s="16"/>
    </row>
    <row r="393" spans="3:4" x14ac:dyDescent="0.25">
      <c r="C393" s="16"/>
      <c r="D393" s="16"/>
    </row>
    <row r="394" spans="3:4" x14ac:dyDescent="0.25">
      <c r="C394" s="16"/>
      <c r="D394" s="16"/>
    </row>
    <row r="395" spans="3:4" x14ac:dyDescent="0.25">
      <c r="C395" s="16"/>
      <c r="D395" s="16"/>
    </row>
    <row r="396" spans="3:4" x14ac:dyDescent="0.25">
      <c r="C396" s="16"/>
      <c r="D396" s="16"/>
    </row>
    <row r="397" spans="3:4" x14ac:dyDescent="0.25">
      <c r="C397" s="16"/>
      <c r="D397" s="16"/>
    </row>
    <row r="398" spans="3:4" x14ac:dyDescent="0.25">
      <c r="C398" s="16"/>
      <c r="D398" s="16"/>
    </row>
    <row r="399" spans="3:4" x14ac:dyDescent="0.25">
      <c r="C399" s="16"/>
      <c r="D399" s="16"/>
    </row>
    <row r="400" spans="3:4" x14ac:dyDescent="0.25">
      <c r="C400" s="16"/>
      <c r="D400" s="16"/>
    </row>
    <row r="401" spans="3:4" x14ac:dyDescent="0.25">
      <c r="C401" s="16"/>
      <c r="D401" s="16"/>
    </row>
    <row r="402" spans="3:4" x14ac:dyDescent="0.25">
      <c r="C402" s="16"/>
      <c r="D402" s="16"/>
    </row>
    <row r="403" spans="3:4" x14ac:dyDescent="0.25">
      <c r="C403" s="16"/>
      <c r="D403" s="16"/>
    </row>
    <row r="404" spans="3:4" x14ac:dyDescent="0.25">
      <c r="C404" s="16"/>
      <c r="D404" s="16"/>
    </row>
    <row r="405" spans="3:4" x14ac:dyDescent="0.25">
      <c r="C405" s="16"/>
      <c r="D405" s="16"/>
    </row>
    <row r="406" spans="3:4" x14ac:dyDescent="0.25">
      <c r="C406" s="16"/>
      <c r="D406" s="16"/>
    </row>
    <row r="407" spans="3:4" x14ac:dyDescent="0.25">
      <c r="C407" s="16"/>
      <c r="D407" s="16"/>
    </row>
    <row r="408" spans="3:4" x14ac:dyDescent="0.25">
      <c r="C408" s="16"/>
      <c r="D408" s="16"/>
    </row>
    <row r="409" spans="3:4" x14ac:dyDescent="0.25">
      <c r="C409" s="16"/>
      <c r="D409" s="16"/>
    </row>
    <row r="410" spans="3:4" x14ac:dyDescent="0.25">
      <c r="C410" s="16"/>
      <c r="D410" s="16"/>
    </row>
    <row r="411" spans="3:4" x14ac:dyDescent="0.25">
      <c r="C411" s="16"/>
      <c r="D411" s="16"/>
    </row>
    <row r="412" spans="3:4" x14ac:dyDescent="0.25">
      <c r="C412" s="16"/>
      <c r="D412" s="16"/>
    </row>
    <row r="413" spans="3:4" x14ac:dyDescent="0.25">
      <c r="C413" s="16"/>
      <c r="D413" s="16"/>
    </row>
    <row r="414" spans="3:4" x14ac:dyDescent="0.25">
      <c r="C414" s="16"/>
      <c r="D414" s="16"/>
    </row>
    <row r="415" spans="3:4" x14ac:dyDescent="0.25">
      <c r="C415" s="16"/>
      <c r="D415" s="16"/>
    </row>
    <row r="416" spans="3:4" x14ac:dyDescent="0.25">
      <c r="C416" s="16"/>
      <c r="D416" s="16"/>
    </row>
    <row r="417" spans="3:4" x14ac:dyDescent="0.25">
      <c r="C417" s="16"/>
      <c r="D417" s="16"/>
    </row>
    <row r="418" spans="3:4" x14ac:dyDescent="0.25">
      <c r="C418" s="16"/>
      <c r="D418" s="16"/>
    </row>
    <row r="419" spans="3:4" x14ac:dyDescent="0.25">
      <c r="C419" s="16"/>
      <c r="D419" s="16"/>
    </row>
    <row r="420" spans="3:4" x14ac:dyDescent="0.25">
      <c r="C420" s="16"/>
      <c r="D420" s="16"/>
    </row>
    <row r="421" spans="3:4" x14ac:dyDescent="0.25">
      <c r="C421" s="16"/>
      <c r="D421" s="16"/>
    </row>
    <row r="422" spans="3:4" x14ac:dyDescent="0.25">
      <c r="C422" s="16"/>
      <c r="D422" s="16"/>
    </row>
    <row r="423" spans="3:4" x14ac:dyDescent="0.25">
      <c r="C423" s="16"/>
      <c r="D423" s="16"/>
    </row>
    <row r="424" spans="3:4" x14ac:dyDescent="0.25">
      <c r="C424" s="16"/>
      <c r="D424" s="16"/>
    </row>
    <row r="425" spans="3:4" x14ac:dyDescent="0.25">
      <c r="C425" s="16"/>
      <c r="D425" s="16"/>
    </row>
    <row r="426" spans="3:4" x14ac:dyDescent="0.25">
      <c r="C426" s="16"/>
      <c r="D426" s="16"/>
    </row>
    <row r="427" spans="3:4" x14ac:dyDescent="0.25">
      <c r="C427" s="16"/>
      <c r="D427" s="16"/>
    </row>
    <row r="428" spans="3:4" x14ac:dyDescent="0.25">
      <c r="C428" s="16"/>
      <c r="D428" s="16"/>
    </row>
    <row r="429" spans="3:4" x14ac:dyDescent="0.25">
      <c r="C429" s="16"/>
      <c r="D429" s="16"/>
    </row>
    <row r="430" spans="3:4" x14ac:dyDescent="0.25">
      <c r="C430" s="16"/>
      <c r="D430" s="16"/>
    </row>
    <row r="431" spans="3:4" x14ac:dyDescent="0.25">
      <c r="C431" s="16"/>
      <c r="D431" s="16"/>
    </row>
    <row r="432" spans="3:4" x14ac:dyDescent="0.25">
      <c r="C432" s="16"/>
      <c r="D432" s="16"/>
    </row>
    <row r="433" spans="3:4" x14ac:dyDescent="0.25">
      <c r="C433" s="16"/>
      <c r="D433" s="16"/>
    </row>
    <row r="434" spans="3:4" x14ac:dyDescent="0.25">
      <c r="C434" s="16"/>
      <c r="D434" s="16"/>
    </row>
    <row r="435" spans="3:4" x14ac:dyDescent="0.25">
      <c r="C435" s="16"/>
      <c r="D435" s="16"/>
    </row>
    <row r="436" spans="3:4" x14ac:dyDescent="0.25">
      <c r="C436" s="16"/>
      <c r="D436" s="16"/>
    </row>
    <row r="437" spans="3:4" x14ac:dyDescent="0.25">
      <c r="C437" s="16"/>
      <c r="D437" s="16"/>
    </row>
    <row r="438" spans="3:4" x14ac:dyDescent="0.25">
      <c r="C438" s="16"/>
      <c r="D438" s="16"/>
    </row>
    <row r="439" spans="3:4" x14ac:dyDescent="0.25">
      <c r="C439" s="16"/>
      <c r="D439" s="16"/>
    </row>
    <row r="440" spans="3:4" x14ac:dyDescent="0.25">
      <c r="C440" s="16"/>
      <c r="D440" s="16"/>
    </row>
    <row r="441" spans="3:4" x14ac:dyDescent="0.25">
      <c r="C441" s="16"/>
      <c r="D441" s="16"/>
    </row>
    <row r="442" spans="3:4" x14ac:dyDescent="0.25">
      <c r="C442" s="16"/>
      <c r="D442" s="16"/>
    </row>
    <row r="443" spans="3:4" x14ac:dyDescent="0.25">
      <c r="C443" s="16"/>
      <c r="D443" s="16"/>
    </row>
    <row r="444" spans="3:4" x14ac:dyDescent="0.25">
      <c r="C444" s="16"/>
      <c r="D444" s="16"/>
    </row>
    <row r="445" spans="3:4" x14ac:dyDescent="0.25">
      <c r="C445" s="16"/>
      <c r="D445" s="16"/>
    </row>
    <row r="446" spans="3:4" x14ac:dyDescent="0.25">
      <c r="C446" s="16"/>
      <c r="D446" s="16"/>
    </row>
    <row r="447" spans="3:4" x14ac:dyDescent="0.25">
      <c r="C447" s="16"/>
      <c r="D447" s="16"/>
    </row>
    <row r="448" spans="3:4" x14ac:dyDescent="0.25">
      <c r="C448" s="16"/>
      <c r="D448" s="16"/>
    </row>
    <row r="449" spans="3:4" x14ac:dyDescent="0.25">
      <c r="C449" s="16"/>
      <c r="D449" s="16"/>
    </row>
    <row r="450" spans="3:4" x14ac:dyDescent="0.25">
      <c r="C450" s="16"/>
      <c r="D450" s="16"/>
    </row>
    <row r="451" spans="3:4" x14ac:dyDescent="0.25">
      <c r="C451" s="16"/>
      <c r="D451" s="16"/>
    </row>
    <row r="452" spans="3:4" x14ac:dyDescent="0.25">
      <c r="C452" s="16"/>
      <c r="D452" s="16"/>
    </row>
    <row r="453" spans="3:4" x14ac:dyDescent="0.25">
      <c r="C453" s="16"/>
      <c r="D453" s="16"/>
    </row>
    <row r="454" spans="3:4" x14ac:dyDescent="0.25">
      <c r="C454" s="16"/>
      <c r="D454" s="16"/>
    </row>
    <row r="455" spans="3:4" x14ac:dyDescent="0.25">
      <c r="C455" s="16"/>
      <c r="D455" s="16"/>
    </row>
    <row r="456" spans="3:4" x14ac:dyDescent="0.25">
      <c r="C456" s="16"/>
      <c r="D456" s="16"/>
    </row>
    <row r="457" spans="3:4" x14ac:dyDescent="0.25">
      <c r="C457" s="16"/>
      <c r="D457" s="16"/>
    </row>
    <row r="458" spans="3:4" x14ac:dyDescent="0.25">
      <c r="C458" s="16"/>
      <c r="D458" s="16"/>
    </row>
    <row r="459" spans="3:4" x14ac:dyDescent="0.25">
      <c r="C459" s="16"/>
      <c r="D459" s="16"/>
    </row>
    <row r="460" spans="3:4" x14ac:dyDescent="0.25">
      <c r="C460" s="16"/>
      <c r="D460" s="16"/>
    </row>
    <row r="461" spans="3:4" x14ac:dyDescent="0.25">
      <c r="C461" s="16"/>
      <c r="D461" s="16"/>
    </row>
    <row r="462" spans="3:4" x14ac:dyDescent="0.25">
      <c r="C462" s="16"/>
      <c r="D462" s="16"/>
    </row>
    <row r="463" spans="3:4" x14ac:dyDescent="0.25">
      <c r="C463" s="16"/>
      <c r="D463" s="16"/>
    </row>
    <row r="464" spans="3:4" x14ac:dyDescent="0.25">
      <c r="C464" s="16"/>
      <c r="D464" s="16"/>
    </row>
    <row r="465" spans="3:4" x14ac:dyDescent="0.25">
      <c r="C465" s="16"/>
      <c r="D465" s="16"/>
    </row>
    <row r="466" spans="3:4" x14ac:dyDescent="0.25">
      <c r="C466" s="16"/>
      <c r="D466" s="16"/>
    </row>
    <row r="467" spans="3:4" x14ac:dyDescent="0.25">
      <c r="C467" s="16"/>
      <c r="D467" s="16"/>
    </row>
    <row r="468" spans="3:4" x14ac:dyDescent="0.25">
      <c r="C468" s="16"/>
      <c r="D468" s="16"/>
    </row>
    <row r="469" spans="3:4" x14ac:dyDescent="0.25">
      <c r="C469" s="16"/>
      <c r="D469" s="16"/>
    </row>
    <row r="470" spans="3:4" x14ac:dyDescent="0.25">
      <c r="C470" s="16"/>
      <c r="D470" s="16"/>
    </row>
    <row r="471" spans="3:4" x14ac:dyDescent="0.25">
      <c r="C471" s="16"/>
      <c r="D471" s="16"/>
    </row>
    <row r="472" spans="3:4" x14ac:dyDescent="0.25">
      <c r="C472" s="16"/>
      <c r="D472" s="16"/>
    </row>
    <row r="473" spans="3:4" x14ac:dyDescent="0.25">
      <c r="C473" s="16"/>
      <c r="D473" s="16"/>
    </row>
    <row r="474" spans="3:4" x14ac:dyDescent="0.25">
      <c r="C474" s="16"/>
      <c r="D474" s="16"/>
    </row>
    <row r="475" spans="3:4" x14ac:dyDescent="0.25">
      <c r="C475" s="16"/>
      <c r="D475" s="16"/>
    </row>
    <row r="476" spans="3:4" x14ac:dyDescent="0.25">
      <c r="C476" s="16"/>
      <c r="D476" s="16"/>
    </row>
    <row r="477" spans="3:4" x14ac:dyDescent="0.25">
      <c r="C477" s="16"/>
      <c r="D477" s="16"/>
    </row>
    <row r="478" spans="3:4" x14ac:dyDescent="0.25">
      <c r="C478" s="16"/>
      <c r="D478" s="16"/>
    </row>
    <row r="479" spans="3:4" x14ac:dyDescent="0.25">
      <c r="C479" s="16"/>
      <c r="D479" s="16"/>
    </row>
    <row r="480" spans="3:4" x14ac:dyDescent="0.25">
      <c r="C480" s="16"/>
      <c r="D480" s="16"/>
    </row>
    <row r="481" spans="3:4" x14ac:dyDescent="0.25">
      <c r="C481" s="16"/>
      <c r="D481" s="16"/>
    </row>
    <row r="482" spans="3:4" x14ac:dyDescent="0.25">
      <c r="C482" s="16"/>
      <c r="D482" s="16"/>
    </row>
    <row r="483" spans="3:4" x14ac:dyDescent="0.25">
      <c r="C483" s="16"/>
      <c r="D483" s="16"/>
    </row>
    <row r="484" spans="3:4" x14ac:dyDescent="0.25">
      <c r="C484" s="16"/>
      <c r="D484" s="16"/>
    </row>
    <row r="485" spans="3:4" x14ac:dyDescent="0.25">
      <c r="C485" s="16"/>
      <c r="D485" s="16"/>
    </row>
    <row r="486" spans="3:4" x14ac:dyDescent="0.25">
      <c r="C486" s="16"/>
      <c r="D486" s="16"/>
    </row>
    <row r="487" spans="3:4" x14ac:dyDescent="0.25">
      <c r="C487" s="16"/>
      <c r="D487" s="16"/>
    </row>
    <row r="488" spans="3:4" x14ac:dyDescent="0.25">
      <c r="C488" s="16"/>
      <c r="D488" s="16"/>
    </row>
    <row r="489" spans="3:4" x14ac:dyDescent="0.25">
      <c r="C489" s="16"/>
      <c r="D489" s="16"/>
    </row>
    <row r="490" spans="3:4" x14ac:dyDescent="0.25">
      <c r="C490" s="16"/>
      <c r="D490" s="16"/>
    </row>
    <row r="491" spans="3:4" x14ac:dyDescent="0.25">
      <c r="C491" s="16"/>
      <c r="D491" s="16"/>
    </row>
    <row r="492" spans="3:4" x14ac:dyDescent="0.25">
      <c r="C492" s="16"/>
      <c r="D492" s="16"/>
    </row>
    <row r="493" spans="3:4" x14ac:dyDescent="0.25">
      <c r="C493" s="16"/>
      <c r="D493" s="16"/>
    </row>
    <row r="494" spans="3:4" x14ac:dyDescent="0.25">
      <c r="C494" s="16"/>
      <c r="D494" s="16"/>
    </row>
    <row r="495" spans="3:4" x14ac:dyDescent="0.25">
      <c r="C495" s="16"/>
      <c r="D495" s="16"/>
    </row>
    <row r="496" spans="3:4" x14ac:dyDescent="0.25">
      <c r="C496" s="16"/>
      <c r="D496" s="16"/>
    </row>
    <row r="497" spans="3:4" x14ac:dyDescent="0.25">
      <c r="C497" s="16"/>
      <c r="D497" s="16"/>
    </row>
    <row r="498" spans="3:4" x14ac:dyDescent="0.25">
      <c r="C498" s="16"/>
      <c r="D498" s="16"/>
    </row>
    <row r="499" spans="3:4" x14ac:dyDescent="0.25">
      <c r="C499" s="16"/>
      <c r="D499" s="16"/>
    </row>
    <row r="500" spans="3:4" x14ac:dyDescent="0.25">
      <c r="C500" s="16"/>
      <c r="D500" s="16"/>
    </row>
    <row r="501" spans="3:4" x14ac:dyDescent="0.25">
      <c r="C501" s="16"/>
      <c r="D501" s="16"/>
    </row>
    <row r="502" spans="3:4" x14ac:dyDescent="0.25">
      <c r="C502" s="16"/>
      <c r="D502" s="16"/>
    </row>
    <row r="503" spans="3:4" x14ac:dyDescent="0.25">
      <c r="C503" s="16"/>
      <c r="D503" s="16"/>
    </row>
    <row r="504" spans="3:4" x14ac:dyDescent="0.25">
      <c r="C504" s="16"/>
      <c r="D504" s="16"/>
    </row>
    <row r="505" spans="3:4" x14ac:dyDescent="0.25">
      <c r="C505" s="16"/>
      <c r="D505" s="16"/>
    </row>
    <row r="506" spans="3:4" x14ac:dyDescent="0.25">
      <c r="C506" s="16"/>
      <c r="D506" s="16"/>
    </row>
    <row r="507" spans="3:4" x14ac:dyDescent="0.25">
      <c r="C507" s="16"/>
      <c r="D507" s="16"/>
    </row>
    <row r="508" spans="3:4" x14ac:dyDescent="0.25">
      <c r="C508" s="16"/>
      <c r="D508" s="16"/>
    </row>
    <row r="509" spans="3:4" x14ac:dyDescent="0.25">
      <c r="C509" s="16"/>
      <c r="D509" s="16"/>
    </row>
    <row r="510" spans="3:4" x14ac:dyDescent="0.25">
      <c r="C510" s="16"/>
      <c r="D510" s="16"/>
    </row>
    <row r="511" spans="3:4" x14ac:dyDescent="0.25">
      <c r="C511" s="16"/>
      <c r="D511" s="16"/>
    </row>
    <row r="512" spans="3:4" x14ac:dyDescent="0.25">
      <c r="C512" s="16"/>
      <c r="D512" s="16"/>
    </row>
    <row r="513" spans="3:4" x14ac:dyDescent="0.25">
      <c r="C513" s="16"/>
      <c r="D513" s="16"/>
    </row>
    <row r="514" spans="3:4" x14ac:dyDescent="0.25">
      <c r="C514" s="16"/>
      <c r="D514" s="16"/>
    </row>
    <row r="515" spans="3:4" x14ac:dyDescent="0.25">
      <c r="C515" s="16"/>
      <c r="D515" s="16"/>
    </row>
    <row r="516" spans="3:4" x14ac:dyDescent="0.25">
      <c r="C516" s="16"/>
      <c r="D516" s="16"/>
    </row>
    <row r="517" spans="3:4" x14ac:dyDescent="0.25">
      <c r="C517" s="16"/>
      <c r="D517" s="16"/>
    </row>
    <row r="518" spans="3:4" x14ac:dyDescent="0.25">
      <c r="C518" s="16"/>
      <c r="D518" s="16"/>
    </row>
    <row r="519" spans="3:4" x14ac:dyDescent="0.25">
      <c r="C519" s="16"/>
      <c r="D519" s="16"/>
    </row>
    <row r="520" spans="3:4" x14ac:dyDescent="0.25">
      <c r="C520" s="16"/>
      <c r="D520" s="16"/>
    </row>
    <row r="521" spans="3:4" x14ac:dyDescent="0.25">
      <c r="C521" s="16"/>
      <c r="D521" s="16"/>
    </row>
    <row r="522" spans="3:4" x14ac:dyDescent="0.25">
      <c r="C522" s="16"/>
      <c r="D522" s="16"/>
    </row>
    <row r="523" spans="3:4" x14ac:dyDescent="0.25">
      <c r="C523" s="16"/>
      <c r="D523" s="16"/>
    </row>
    <row r="524" spans="3:4" x14ac:dyDescent="0.25">
      <c r="C524" s="16"/>
      <c r="D524" s="16"/>
    </row>
    <row r="525" spans="3:4" x14ac:dyDescent="0.25">
      <c r="C525" s="16"/>
      <c r="D525" s="16"/>
    </row>
    <row r="526" spans="3:4" x14ac:dyDescent="0.25">
      <c r="C526" s="16"/>
      <c r="D526" s="16"/>
    </row>
    <row r="527" spans="3:4" x14ac:dyDescent="0.25">
      <c r="C527" s="16"/>
      <c r="D527" s="16"/>
    </row>
    <row r="528" spans="3:4" x14ac:dyDescent="0.25">
      <c r="C528" s="16"/>
      <c r="D528" s="16"/>
    </row>
    <row r="529" spans="3:4" x14ac:dyDescent="0.25">
      <c r="C529" s="16"/>
      <c r="D529" s="16"/>
    </row>
    <row r="530" spans="3:4" x14ac:dyDescent="0.25">
      <c r="C530" s="16"/>
      <c r="D530" s="16"/>
    </row>
    <row r="531" spans="3:4" x14ac:dyDescent="0.25">
      <c r="C531" s="16"/>
      <c r="D531" s="16"/>
    </row>
    <row r="532" spans="3:4" x14ac:dyDescent="0.25">
      <c r="C532" s="16"/>
      <c r="D532" s="16"/>
    </row>
    <row r="533" spans="3:4" x14ac:dyDescent="0.25">
      <c r="C533" s="16"/>
      <c r="D533" s="16"/>
    </row>
    <row r="534" spans="3:4" x14ac:dyDescent="0.25">
      <c r="C534" s="16"/>
      <c r="D534" s="16"/>
    </row>
    <row r="535" spans="3:4" x14ac:dyDescent="0.25">
      <c r="C535" s="16"/>
      <c r="D535" s="16"/>
    </row>
    <row r="536" spans="3:4" x14ac:dyDescent="0.25">
      <c r="C536" s="16"/>
      <c r="D536" s="16"/>
    </row>
    <row r="537" spans="3:4" x14ac:dyDescent="0.25">
      <c r="C537" s="16"/>
      <c r="D537" s="16"/>
    </row>
    <row r="538" spans="3:4" x14ac:dyDescent="0.25">
      <c r="C538" s="16"/>
      <c r="D538" s="16"/>
    </row>
    <row r="539" spans="3:4" x14ac:dyDescent="0.25">
      <c r="C539" s="16"/>
      <c r="D539" s="16"/>
    </row>
    <row r="540" spans="3:4" x14ac:dyDescent="0.25">
      <c r="C540" s="16"/>
      <c r="D540" s="16"/>
    </row>
    <row r="541" spans="3:4" x14ac:dyDescent="0.25">
      <c r="C541" s="16"/>
      <c r="D541" s="16"/>
    </row>
    <row r="542" spans="3:4" x14ac:dyDescent="0.25">
      <c r="C542" s="16"/>
      <c r="D542" s="16"/>
    </row>
    <row r="543" spans="3:4" x14ac:dyDescent="0.25">
      <c r="C543" s="16"/>
      <c r="D543" s="16"/>
    </row>
    <row r="544" spans="3:4" x14ac:dyDescent="0.25">
      <c r="C544" s="16"/>
      <c r="D544" s="16"/>
    </row>
    <row r="545" spans="3:4" x14ac:dyDescent="0.25">
      <c r="C545" s="16"/>
      <c r="D545" s="16"/>
    </row>
    <row r="546" spans="3:4" x14ac:dyDescent="0.25">
      <c r="C546" s="16"/>
      <c r="D546" s="16"/>
    </row>
    <row r="547" spans="3:4" x14ac:dyDescent="0.25">
      <c r="C547" s="16"/>
      <c r="D547" s="16"/>
    </row>
    <row r="548" spans="3:4" x14ac:dyDescent="0.25">
      <c r="C548" s="16"/>
      <c r="D548" s="16"/>
    </row>
    <row r="549" spans="3:4" x14ac:dyDescent="0.25">
      <c r="C549" s="16"/>
      <c r="D549" s="16"/>
    </row>
    <row r="550" spans="3:4" x14ac:dyDescent="0.25">
      <c r="C550" s="16"/>
      <c r="D550" s="16"/>
    </row>
    <row r="551" spans="3:4" x14ac:dyDescent="0.25">
      <c r="C551" s="16"/>
      <c r="D551" s="16"/>
    </row>
    <row r="552" spans="3:4" x14ac:dyDescent="0.25">
      <c r="C552" s="16"/>
      <c r="D552" s="16"/>
    </row>
    <row r="553" spans="3:4" x14ac:dyDescent="0.25">
      <c r="C553" s="16"/>
      <c r="D553" s="16"/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3E6D-3335-4688-ABFC-8389211BFEBE}">
  <sheetPr>
    <tabColor theme="7" tint="0.79998168889431442"/>
  </sheetPr>
  <dimension ref="B1:O31"/>
  <sheetViews>
    <sheetView topLeftCell="C1" workbookViewId="0">
      <selection activeCell="N8" sqref="N8"/>
    </sheetView>
  </sheetViews>
  <sheetFormatPr baseColWidth="10" defaultRowHeight="15" x14ac:dyDescent="0.25"/>
  <cols>
    <col min="2" max="2" width="29.28515625" style="16" bestFit="1" customWidth="1"/>
    <col min="3" max="3" width="12.7109375" style="16" bestFit="1" customWidth="1"/>
    <col min="4" max="4" width="29.28515625" style="16" bestFit="1" customWidth="1"/>
    <col min="5" max="5" width="12.7109375" style="16" bestFit="1" customWidth="1"/>
    <col min="6" max="6" width="29.28515625" style="16" bestFit="1" customWidth="1"/>
    <col min="7" max="7" width="12.7109375" style="16" bestFit="1" customWidth="1"/>
    <col min="8" max="8" width="29.28515625" style="16" bestFit="1" customWidth="1"/>
    <col min="9" max="9" width="12.7109375" style="16" bestFit="1" customWidth="1"/>
    <col min="10" max="10" width="31.85546875" customWidth="1"/>
    <col min="11" max="11" width="12.7109375" style="7" bestFit="1" customWidth="1"/>
    <col min="12" max="12" width="23.5703125" style="16" bestFit="1" customWidth="1"/>
    <col min="13" max="13" width="7.7109375" style="16" bestFit="1" customWidth="1"/>
    <col min="14" max="14" width="22.28515625" customWidth="1"/>
  </cols>
  <sheetData>
    <row r="1" spans="2:15" s="6" customFormat="1" x14ac:dyDescent="0.25">
      <c r="B1" s="5" t="s">
        <v>950</v>
      </c>
      <c r="C1" s="5">
        <v>140</v>
      </c>
      <c r="D1" s="5" t="s">
        <v>951</v>
      </c>
      <c r="E1" s="5">
        <v>142</v>
      </c>
      <c r="F1" s="5" t="s">
        <v>927</v>
      </c>
      <c r="G1" s="5">
        <v>138</v>
      </c>
      <c r="H1" s="5" t="s">
        <v>952</v>
      </c>
      <c r="I1" s="5">
        <v>124</v>
      </c>
      <c r="J1" s="5" t="s">
        <v>953</v>
      </c>
      <c r="K1" s="5">
        <v>141</v>
      </c>
      <c r="L1" s="5" t="s">
        <v>954</v>
      </c>
      <c r="M1" s="5">
        <v>101</v>
      </c>
      <c r="N1" s="5" t="s">
        <v>1098</v>
      </c>
      <c r="O1" s="5">
        <v>18</v>
      </c>
    </row>
    <row r="2" spans="2:15" s="7" customFormat="1" x14ac:dyDescent="0.25">
      <c r="B2" s="4" t="s">
        <v>985</v>
      </c>
      <c r="C2" s="16">
        <v>662</v>
      </c>
      <c r="D2" s="4" t="s">
        <v>983</v>
      </c>
      <c r="E2" s="16">
        <v>691</v>
      </c>
      <c r="F2" s="4" t="s">
        <v>983</v>
      </c>
      <c r="G2" s="16">
        <v>660</v>
      </c>
      <c r="H2" s="4" t="s">
        <v>22</v>
      </c>
      <c r="I2" s="16">
        <v>543</v>
      </c>
      <c r="J2" s="4" t="s">
        <v>983</v>
      </c>
      <c r="K2" s="7">
        <v>664</v>
      </c>
      <c r="L2" s="16" t="s">
        <v>27</v>
      </c>
      <c r="M2" s="16">
        <v>314</v>
      </c>
      <c r="N2" s="7" t="s">
        <v>1099</v>
      </c>
      <c r="O2" s="7">
        <v>84</v>
      </c>
    </row>
    <row r="3" spans="2:15" s="7" customFormat="1" x14ac:dyDescent="0.25">
      <c r="B3" s="4" t="s">
        <v>987</v>
      </c>
      <c r="C3" s="16">
        <v>663</v>
      </c>
      <c r="D3" s="4" t="s">
        <v>1007</v>
      </c>
      <c r="E3" s="16">
        <v>686</v>
      </c>
      <c r="F3" s="4" t="s">
        <v>984</v>
      </c>
      <c r="G3" s="16">
        <v>639</v>
      </c>
      <c r="H3" s="4" t="s">
        <v>972</v>
      </c>
      <c r="I3" s="16">
        <v>544</v>
      </c>
      <c r="J3" s="4" t="s">
        <v>988</v>
      </c>
      <c r="K3" s="7">
        <v>665</v>
      </c>
      <c r="L3" s="16" t="s">
        <v>26</v>
      </c>
      <c r="M3" s="16">
        <v>315</v>
      </c>
      <c r="N3" s="7" t="s">
        <v>1100</v>
      </c>
      <c r="O3" s="7">
        <v>83</v>
      </c>
    </row>
    <row r="4" spans="2:15" s="7" customFormat="1" x14ac:dyDescent="0.25">
      <c r="B4" s="4" t="s">
        <v>986</v>
      </c>
      <c r="C4" s="16">
        <v>685</v>
      </c>
      <c r="D4" s="4" t="s">
        <v>1008</v>
      </c>
      <c r="E4" s="16">
        <v>687</v>
      </c>
      <c r="F4" s="4" t="s">
        <v>928</v>
      </c>
      <c r="G4" s="16">
        <v>640</v>
      </c>
      <c r="H4" s="16" t="s">
        <v>981</v>
      </c>
      <c r="I4" s="16">
        <v>545</v>
      </c>
      <c r="J4" s="4" t="s">
        <v>989</v>
      </c>
      <c r="K4" s="7">
        <v>666</v>
      </c>
      <c r="L4" s="16" t="s">
        <v>25</v>
      </c>
      <c r="M4" s="16">
        <v>316</v>
      </c>
    </row>
    <row r="5" spans="2:15" s="7" customFormat="1" x14ac:dyDescent="0.25">
      <c r="B5" s="4"/>
      <c r="C5" s="9"/>
      <c r="D5" s="4" t="s">
        <v>1009</v>
      </c>
      <c r="E5" s="16">
        <v>688</v>
      </c>
      <c r="F5" s="4" t="s">
        <v>929</v>
      </c>
      <c r="G5" s="16">
        <v>641</v>
      </c>
      <c r="H5" s="4" t="s">
        <v>978</v>
      </c>
      <c r="I5" s="9">
        <v>546</v>
      </c>
      <c r="J5" s="4" t="s">
        <v>990</v>
      </c>
      <c r="K5" s="9">
        <v>667</v>
      </c>
      <c r="L5" s="16" t="s">
        <v>24</v>
      </c>
      <c r="M5" s="16">
        <v>317</v>
      </c>
    </row>
    <row r="6" spans="2:15" s="7" customFormat="1" x14ac:dyDescent="0.25">
      <c r="B6" s="4"/>
      <c r="C6" s="16"/>
      <c r="D6" s="4" t="s">
        <v>1010</v>
      </c>
      <c r="E6" s="9">
        <v>689</v>
      </c>
      <c r="F6" s="4" t="s">
        <v>930</v>
      </c>
      <c r="G6" s="9">
        <v>642</v>
      </c>
      <c r="H6" s="4" t="s">
        <v>971</v>
      </c>
      <c r="I6" s="16">
        <v>547</v>
      </c>
      <c r="J6" s="4" t="s">
        <v>991</v>
      </c>
      <c r="K6" s="7">
        <v>668</v>
      </c>
      <c r="L6" s="16" t="s">
        <v>23</v>
      </c>
      <c r="M6" s="16">
        <v>318</v>
      </c>
    </row>
    <row r="7" spans="2:15" s="7" customFormat="1" x14ac:dyDescent="0.25">
      <c r="B7" s="4"/>
      <c r="C7" s="16"/>
      <c r="D7" s="4" t="s">
        <v>1011</v>
      </c>
      <c r="E7" s="16">
        <v>690</v>
      </c>
      <c r="F7" s="4" t="s">
        <v>931</v>
      </c>
      <c r="G7" s="16">
        <v>692</v>
      </c>
      <c r="H7" s="4" t="s">
        <v>961</v>
      </c>
      <c r="I7" s="16">
        <v>548</v>
      </c>
      <c r="J7" s="4" t="s">
        <v>992</v>
      </c>
      <c r="K7" s="7">
        <v>669</v>
      </c>
      <c r="L7" s="16" t="s">
        <v>22</v>
      </c>
      <c r="M7" s="16">
        <v>319</v>
      </c>
    </row>
    <row r="8" spans="2:15" s="7" customFormat="1" x14ac:dyDescent="0.25">
      <c r="B8" s="4"/>
      <c r="C8" s="16"/>
      <c r="H8" s="4" t="s">
        <v>973</v>
      </c>
      <c r="I8" s="16">
        <v>549</v>
      </c>
      <c r="J8" s="4" t="s">
        <v>993</v>
      </c>
      <c r="K8" s="7">
        <v>670</v>
      </c>
      <c r="L8" s="16" t="s">
        <v>20</v>
      </c>
      <c r="M8" s="16">
        <v>457</v>
      </c>
    </row>
    <row r="9" spans="2:15" s="7" customFormat="1" x14ac:dyDescent="0.25">
      <c r="B9" s="4"/>
      <c r="C9" s="16"/>
      <c r="F9" s="4"/>
      <c r="G9" s="16"/>
      <c r="H9" s="16" t="s">
        <v>980</v>
      </c>
      <c r="I9" s="16">
        <v>550</v>
      </c>
      <c r="J9" s="4" t="s">
        <v>994</v>
      </c>
      <c r="K9" s="7">
        <v>671</v>
      </c>
      <c r="L9" s="4"/>
      <c r="M9" s="16"/>
    </row>
    <row r="10" spans="2:15" s="7" customFormat="1" x14ac:dyDescent="0.25">
      <c r="B10" s="4"/>
      <c r="C10" s="16"/>
      <c r="F10" s="4"/>
      <c r="G10" s="16"/>
      <c r="H10" s="4" t="s">
        <v>958</v>
      </c>
      <c r="I10" s="16">
        <v>551</v>
      </c>
      <c r="J10" s="4" t="s">
        <v>995</v>
      </c>
      <c r="K10" s="7">
        <v>672</v>
      </c>
      <c r="L10" s="4"/>
      <c r="M10" s="16"/>
    </row>
    <row r="11" spans="2:15" s="7" customFormat="1" x14ac:dyDescent="0.25">
      <c r="B11" s="4"/>
      <c r="C11" s="16"/>
      <c r="F11" s="4"/>
      <c r="G11" s="16"/>
      <c r="H11" s="4" t="s">
        <v>977</v>
      </c>
      <c r="I11" s="16">
        <v>552</v>
      </c>
      <c r="J11" s="4" t="s">
        <v>996</v>
      </c>
      <c r="K11" s="7">
        <v>673</v>
      </c>
      <c r="L11" s="4"/>
      <c r="M11" s="16"/>
    </row>
    <row r="12" spans="2:15" s="7" customFormat="1" x14ac:dyDescent="0.25">
      <c r="B12" s="4"/>
      <c r="C12" s="16"/>
      <c r="F12" s="4"/>
      <c r="G12" s="16"/>
      <c r="H12" s="4" t="s">
        <v>969</v>
      </c>
      <c r="I12" s="16">
        <v>553</v>
      </c>
      <c r="J12" s="4" t="s">
        <v>997</v>
      </c>
      <c r="K12" s="7">
        <v>674</v>
      </c>
      <c r="L12" s="4"/>
      <c r="M12" s="16"/>
    </row>
    <row r="13" spans="2:15" s="7" customFormat="1" x14ac:dyDescent="0.25">
      <c r="B13" s="4"/>
      <c r="C13" s="16"/>
      <c r="D13" s="4"/>
      <c r="E13" s="16"/>
      <c r="F13" s="4"/>
      <c r="G13" s="16"/>
      <c r="H13" s="4" t="s">
        <v>956</v>
      </c>
      <c r="I13" s="16">
        <v>554</v>
      </c>
      <c r="J13" s="4" t="s">
        <v>998</v>
      </c>
      <c r="K13" s="7">
        <v>675</v>
      </c>
      <c r="L13" s="4"/>
      <c r="M13" s="16"/>
    </row>
    <row r="14" spans="2:15" s="7" customFormat="1" x14ac:dyDescent="0.25">
      <c r="B14" s="4"/>
      <c r="C14" s="16"/>
      <c r="D14" s="4"/>
      <c r="E14" s="16"/>
      <c r="F14" s="4"/>
      <c r="G14" s="16"/>
      <c r="H14" s="4" t="s">
        <v>955</v>
      </c>
      <c r="I14" s="16">
        <v>555</v>
      </c>
      <c r="J14" s="4" t="s">
        <v>999</v>
      </c>
      <c r="K14" s="7">
        <v>676</v>
      </c>
      <c r="L14" s="4"/>
      <c r="M14" s="16"/>
    </row>
    <row r="15" spans="2:15" s="7" customFormat="1" x14ac:dyDescent="0.25">
      <c r="B15" s="4"/>
      <c r="C15" s="16"/>
      <c r="D15" s="4"/>
      <c r="E15" s="16"/>
      <c r="F15" s="4"/>
      <c r="G15" s="16"/>
      <c r="H15" s="4" t="s">
        <v>964</v>
      </c>
      <c r="I15" s="16">
        <v>556</v>
      </c>
      <c r="J15" s="4" t="s">
        <v>1000</v>
      </c>
      <c r="K15" s="7">
        <v>677</v>
      </c>
      <c r="L15" s="4"/>
      <c r="M15" s="16"/>
    </row>
    <row r="16" spans="2:15" s="7" customFormat="1" x14ac:dyDescent="0.25">
      <c r="B16" s="4"/>
      <c r="C16" s="16"/>
      <c r="D16" s="4"/>
      <c r="E16" s="16"/>
      <c r="F16" s="4"/>
      <c r="G16" s="16"/>
      <c r="H16" s="4" t="s">
        <v>966</v>
      </c>
      <c r="I16" s="16">
        <v>557</v>
      </c>
      <c r="J16" s="4" t="s">
        <v>1001</v>
      </c>
      <c r="K16" s="7">
        <v>678</v>
      </c>
      <c r="L16" s="4"/>
      <c r="M16" s="16"/>
    </row>
    <row r="17" spans="2:13" s="7" customFormat="1" x14ac:dyDescent="0.25">
      <c r="B17" s="4"/>
      <c r="C17" s="16"/>
      <c r="D17" s="4"/>
      <c r="E17" s="16"/>
      <c r="F17" s="4"/>
      <c r="G17" s="16"/>
      <c r="H17" s="16" t="s">
        <v>982</v>
      </c>
      <c r="I17" s="16">
        <v>558</v>
      </c>
      <c r="J17" s="4" t="s">
        <v>1002</v>
      </c>
      <c r="K17" s="7">
        <v>679</v>
      </c>
      <c r="L17" s="4"/>
      <c r="M17" s="16"/>
    </row>
    <row r="18" spans="2:13" s="7" customFormat="1" x14ac:dyDescent="0.25">
      <c r="B18" s="4"/>
      <c r="C18" s="16"/>
      <c r="D18" s="4"/>
      <c r="E18" s="16"/>
      <c r="F18" s="4"/>
      <c r="G18" s="16"/>
      <c r="H18" s="4" t="s">
        <v>959</v>
      </c>
      <c r="I18" s="16">
        <v>559</v>
      </c>
      <c r="J18" s="4" t="s">
        <v>1003</v>
      </c>
      <c r="K18" s="7">
        <v>680</v>
      </c>
      <c r="L18" s="4"/>
      <c r="M18" s="16"/>
    </row>
    <row r="19" spans="2:13" s="7" customFormat="1" x14ac:dyDescent="0.25">
      <c r="B19" s="4"/>
      <c r="C19" s="16"/>
      <c r="D19" s="4"/>
      <c r="E19" s="16"/>
      <c r="F19" s="4"/>
      <c r="G19" s="16"/>
      <c r="H19" s="4" t="s">
        <v>962</v>
      </c>
      <c r="I19" s="16">
        <v>560</v>
      </c>
      <c r="J19" s="4" t="s">
        <v>1004</v>
      </c>
      <c r="K19" s="7">
        <v>681</v>
      </c>
      <c r="L19" s="4"/>
      <c r="M19" s="16"/>
    </row>
    <row r="20" spans="2:13" s="7" customFormat="1" x14ac:dyDescent="0.25">
      <c r="B20" s="4"/>
      <c r="C20" s="16"/>
      <c r="D20" s="4"/>
      <c r="E20" s="16"/>
      <c r="F20" s="4"/>
      <c r="G20" s="16"/>
      <c r="H20" s="4" t="s">
        <v>957</v>
      </c>
      <c r="I20" s="16">
        <v>561</v>
      </c>
      <c r="J20" s="4" t="s">
        <v>1005</v>
      </c>
      <c r="K20" s="7">
        <v>682</v>
      </c>
      <c r="L20" s="4"/>
      <c r="M20" s="16"/>
    </row>
    <row r="21" spans="2:13" s="7" customFormat="1" x14ac:dyDescent="0.25">
      <c r="B21" s="4"/>
      <c r="C21" s="16"/>
      <c r="D21" s="4"/>
      <c r="E21" s="16"/>
      <c r="F21" s="4"/>
      <c r="G21" s="16"/>
      <c r="H21" s="4" t="s">
        <v>19</v>
      </c>
      <c r="I21" s="16">
        <v>562</v>
      </c>
      <c r="J21" s="4" t="s">
        <v>1006</v>
      </c>
      <c r="K21" s="7">
        <v>683</v>
      </c>
      <c r="L21" s="4"/>
      <c r="M21" s="16"/>
    </row>
    <row r="22" spans="2:13" s="7" customFormat="1" x14ac:dyDescent="0.25">
      <c r="B22" s="4"/>
      <c r="C22" s="16"/>
      <c r="D22" s="4"/>
      <c r="E22" s="16"/>
      <c r="F22" s="4"/>
      <c r="G22" s="16"/>
      <c r="H22" s="4" t="s">
        <v>967</v>
      </c>
      <c r="I22" s="16">
        <v>563</v>
      </c>
      <c r="J22" s="4"/>
      <c r="L22" s="4"/>
      <c r="M22" s="16"/>
    </row>
    <row r="23" spans="2:13" s="7" customFormat="1" x14ac:dyDescent="0.25">
      <c r="B23" s="4"/>
      <c r="C23" s="16"/>
      <c r="D23" s="4"/>
      <c r="E23" s="16"/>
      <c r="F23" s="4"/>
      <c r="G23" s="16"/>
      <c r="H23" s="4" t="s">
        <v>963</v>
      </c>
      <c r="I23" s="16">
        <v>564</v>
      </c>
      <c r="J23" s="4"/>
      <c r="L23" s="4"/>
      <c r="M23" s="16"/>
    </row>
    <row r="24" spans="2:13" s="7" customFormat="1" x14ac:dyDescent="0.25">
      <c r="B24" s="4"/>
      <c r="C24" s="16"/>
      <c r="D24" s="4"/>
      <c r="E24" s="16"/>
      <c r="F24" s="4"/>
      <c r="G24" s="16"/>
      <c r="H24" s="4" t="s">
        <v>976</v>
      </c>
      <c r="I24" s="16">
        <v>565</v>
      </c>
      <c r="J24" s="4"/>
      <c r="L24" s="4"/>
      <c r="M24" s="16"/>
    </row>
    <row r="25" spans="2:13" s="7" customFormat="1" x14ac:dyDescent="0.25">
      <c r="B25" s="4"/>
      <c r="C25" s="16"/>
      <c r="D25" s="4"/>
      <c r="E25" s="16"/>
      <c r="F25" s="4"/>
      <c r="G25" s="16"/>
      <c r="H25" s="4" t="s">
        <v>968</v>
      </c>
      <c r="I25" s="16">
        <v>566</v>
      </c>
      <c r="J25" s="4"/>
      <c r="L25" s="4"/>
      <c r="M25" s="16"/>
    </row>
    <row r="26" spans="2:13" s="7" customFormat="1" x14ac:dyDescent="0.25">
      <c r="B26" s="4"/>
      <c r="C26" s="16"/>
      <c r="D26" s="4"/>
      <c r="E26" s="16"/>
      <c r="F26" s="4"/>
      <c r="G26" s="16"/>
      <c r="H26" s="4" t="s">
        <v>970</v>
      </c>
      <c r="I26" s="16">
        <v>650</v>
      </c>
      <c r="J26" s="4"/>
      <c r="L26" s="4"/>
      <c r="M26" s="16"/>
    </row>
    <row r="27" spans="2:13" s="7" customFormat="1" x14ac:dyDescent="0.25">
      <c r="B27" s="4"/>
      <c r="C27" s="16"/>
      <c r="D27" s="4"/>
      <c r="E27" s="16"/>
      <c r="F27" s="4"/>
      <c r="G27" s="16"/>
      <c r="H27" s="4" t="s">
        <v>965</v>
      </c>
      <c r="I27" s="16">
        <v>651</v>
      </c>
      <c r="J27" s="4"/>
      <c r="L27" s="4"/>
      <c r="M27" s="16"/>
    </row>
    <row r="28" spans="2:13" x14ac:dyDescent="0.25">
      <c r="H28" s="4" t="s">
        <v>960</v>
      </c>
      <c r="I28" s="16">
        <v>652</v>
      </c>
    </row>
    <row r="29" spans="2:13" x14ac:dyDescent="0.25">
      <c r="H29" s="4" t="s">
        <v>974</v>
      </c>
      <c r="I29" s="16">
        <v>653</v>
      </c>
    </row>
    <row r="30" spans="2:13" x14ac:dyDescent="0.25">
      <c r="H30" s="4" t="s">
        <v>975</v>
      </c>
      <c r="I30" s="16">
        <v>654</v>
      </c>
    </row>
    <row r="31" spans="2:13" x14ac:dyDescent="0.25">
      <c r="H31" s="16" t="s">
        <v>979</v>
      </c>
      <c r="I31" s="16">
        <v>655</v>
      </c>
    </row>
  </sheetData>
  <sheetProtection sheet="1" objects="1" scenarios="1"/>
  <sortState xmlns:xlrd2="http://schemas.microsoft.com/office/spreadsheetml/2017/richdata2" ref="H3:H31">
    <sortCondition ref="H3:H31"/>
  </sortState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79B7-5FAD-4524-B6C9-C28CA01A7DDD}">
  <sheetPr>
    <tabColor theme="7" tint="0.79998168889431442"/>
  </sheetPr>
  <dimension ref="A1:H81"/>
  <sheetViews>
    <sheetView workbookViewId="0">
      <selection activeCell="C3" sqref="C3"/>
    </sheetView>
  </sheetViews>
  <sheetFormatPr baseColWidth="10" defaultRowHeight="15" x14ac:dyDescent="0.25"/>
  <cols>
    <col min="1" max="1" width="7.28515625" style="1" bestFit="1" customWidth="1"/>
    <col min="2" max="2" width="20" style="1" bestFit="1" customWidth="1"/>
    <col min="3" max="3" width="15.42578125" style="1" bestFit="1" customWidth="1"/>
    <col min="4" max="4" width="26" style="1" bestFit="1" customWidth="1"/>
    <col min="5" max="5" width="56.140625" bestFit="1" customWidth="1"/>
    <col min="6" max="6" width="7.28515625" style="1" bestFit="1" customWidth="1"/>
    <col min="14" max="14" width="23.85546875" customWidth="1"/>
  </cols>
  <sheetData>
    <row r="1" spans="1:8" x14ac:dyDescent="0.25">
      <c r="A1" s="1" t="s">
        <v>10</v>
      </c>
      <c r="B1" s="1" t="s">
        <v>11</v>
      </c>
      <c r="C1" s="1" t="s">
        <v>12</v>
      </c>
      <c r="D1" s="9" t="s">
        <v>33</v>
      </c>
      <c r="E1" s="15" t="s">
        <v>925</v>
      </c>
      <c r="F1" s="1" t="s">
        <v>10</v>
      </c>
      <c r="H1" t="s">
        <v>1087</v>
      </c>
    </row>
    <row r="2" spans="1:8" x14ac:dyDescent="0.25">
      <c r="A2" s="16">
        <v>357</v>
      </c>
      <c r="B2" s="16" t="s">
        <v>922</v>
      </c>
      <c r="C2" s="16" t="s">
        <v>923</v>
      </c>
      <c r="D2" s="16" t="s">
        <v>924</v>
      </c>
      <c r="E2" s="16" t="s">
        <v>15</v>
      </c>
      <c r="F2" s="16">
        <v>357</v>
      </c>
      <c r="H2" t="s">
        <v>1088</v>
      </c>
    </row>
    <row r="3" spans="1:8" x14ac:dyDescent="0.25">
      <c r="A3" s="16">
        <v>10</v>
      </c>
      <c r="B3" s="16" t="s">
        <v>13</v>
      </c>
      <c r="C3" s="16" t="s">
        <v>14</v>
      </c>
      <c r="D3" s="16" t="s">
        <v>30</v>
      </c>
      <c r="E3" s="16" t="s">
        <v>15</v>
      </c>
      <c r="F3" s="16">
        <v>10</v>
      </c>
      <c r="H3" t="s">
        <v>1089</v>
      </c>
    </row>
    <row r="4" spans="1:8" x14ac:dyDescent="0.25">
      <c r="A4" s="16">
        <v>17</v>
      </c>
      <c r="B4" s="16" t="s">
        <v>17</v>
      </c>
      <c r="C4" s="16" t="s">
        <v>16</v>
      </c>
      <c r="D4" s="16" t="s">
        <v>29</v>
      </c>
      <c r="E4" s="16" t="s">
        <v>15</v>
      </c>
      <c r="F4" s="16">
        <v>17</v>
      </c>
      <c r="H4" t="s">
        <v>1090</v>
      </c>
    </row>
    <row r="5" spans="1:8" x14ac:dyDescent="0.25">
      <c r="A5" s="16"/>
      <c r="B5" s="16"/>
      <c r="C5" s="16"/>
      <c r="D5" s="16"/>
      <c r="E5" s="16"/>
      <c r="F5" s="16"/>
      <c r="H5" t="s">
        <v>1091</v>
      </c>
    </row>
    <row r="6" spans="1:8" x14ac:dyDescent="0.25">
      <c r="A6" s="16"/>
      <c r="B6" s="16"/>
      <c r="C6" s="16"/>
      <c r="D6" s="16"/>
      <c r="E6" s="16"/>
      <c r="F6" s="16"/>
      <c r="H6" t="s">
        <v>1092</v>
      </c>
    </row>
    <row r="7" spans="1:8" x14ac:dyDescent="0.25">
      <c r="A7" s="16"/>
      <c r="B7" s="16"/>
      <c r="C7" s="16"/>
      <c r="D7" s="16"/>
      <c r="E7" s="16"/>
      <c r="F7" s="16"/>
    </row>
    <row r="8" spans="1:8" x14ac:dyDescent="0.25">
      <c r="A8" s="16"/>
      <c r="B8" s="16"/>
      <c r="C8" s="16"/>
      <c r="D8" s="16"/>
      <c r="E8" s="16"/>
      <c r="F8" s="16"/>
    </row>
    <row r="9" spans="1:8" x14ac:dyDescent="0.25">
      <c r="A9" s="16"/>
      <c r="B9" s="16"/>
      <c r="C9" s="16"/>
      <c r="D9" s="16"/>
      <c r="E9" s="16"/>
      <c r="F9" s="16"/>
    </row>
    <row r="10" spans="1:8" x14ac:dyDescent="0.25">
      <c r="A10" s="16"/>
      <c r="B10" s="16"/>
      <c r="C10" s="16"/>
      <c r="D10" s="16"/>
      <c r="E10" s="16"/>
      <c r="F10" s="16"/>
    </row>
    <row r="11" spans="1:8" x14ac:dyDescent="0.25">
      <c r="A11" s="16"/>
      <c r="B11" s="16"/>
      <c r="C11" s="16"/>
      <c r="D11" s="16"/>
      <c r="E11" s="16"/>
      <c r="F11" s="16"/>
    </row>
    <row r="12" spans="1:8" x14ac:dyDescent="0.25">
      <c r="A12" s="16"/>
      <c r="B12" s="16"/>
      <c r="C12" s="16"/>
      <c r="D12" s="16"/>
      <c r="E12" s="16"/>
      <c r="F12" s="16"/>
    </row>
    <row r="13" spans="1:8" x14ac:dyDescent="0.25">
      <c r="A13" s="16"/>
      <c r="B13" s="16"/>
      <c r="C13" s="16"/>
      <c r="D13" s="16"/>
      <c r="E13" s="16"/>
      <c r="F13" s="16"/>
    </row>
    <row r="14" spans="1:8" x14ac:dyDescent="0.25">
      <c r="A14" s="16"/>
      <c r="B14" s="16"/>
      <c r="C14" s="16"/>
      <c r="D14" s="16"/>
      <c r="E14" s="16"/>
      <c r="F14" s="16"/>
    </row>
    <row r="15" spans="1:8" x14ac:dyDescent="0.25">
      <c r="A15" s="16"/>
      <c r="B15" s="16"/>
      <c r="C15" s="16"/>
      <c r="D15" s="16"/>
      <c r="E15" s="16"/>
      <c r="F15" s="16"/>
    </row>
    <row r="16" spans="1:8" x14ac:dyDescent="0.25">
      <c r="A16" s="16"/>
      <c r="B16" s="16"/>
      <c r="C16" s="16"/>
      <c r="D16" s="16"/>
      <c r="E16" s="16"/>
      <c r="F16" s="16"/>
    </row>
    <row r="17" spans="1:6" x14ac:dyDescent="0.25">
      <c r="A17" s="16"/>
      <c r="B17" s="16"/>
      <c r="C17" s="16"/>
      <c r="D17" s="16"/>
      <c r="E17" s="16"/>
      <c r="F17" s="16"/>
    </row>
    <row r="18" spans="1:6" x14ac:dyDescent="0.25">
      <c r="A18" s="16"/>
      <c r="B18" s="16"/>
      <c r="C18" s="16"/>
      <c r="D18" s="16"/>
      <c r="E18" s="16"/>
      <c r="F18" s="16"/>
    </row>
    <row r="19" spans="1:6" x14ac:dyDescent="0.25">
      <c r="A19" s="16"/>
      <c r="B19" s="16"/>
      <c r="C19" s="16"/>
      <c r="D19" s="16"/>
      <c r="E19" s="16"/>
      <c r="F19" s="16"/>
    </row>
    <row r="20" spans="1:6" x14ac:dyDescent="0.25">
      <c r="A20" s="16"/>
      <c r="B20" s="16"/>
      <c r="C20" s="16"/>
      <c r="D20" s="16"/>
      <c r="E20" s="16"/>
      <c r="F20" s="16"/>
    </row>
    <row r="21" spans="1:6" x14ac:dyDescent="0.25">
      <c r="A21" s="16"/>
      <c r="B21" s="16"/>
      <c r="C21" s="16"/>
      <c r="D21" s="16"/>
      <c r="E21" s="16"/>
      <c r="F21" s="16"/>
    </row>
    <row r="22" spans="1:6" x14ac:dyDescent="0.25">
      <c r="A22" s="16"/>
      <c r="B22" s="16"/>
      <c r="C22" s="16"/>
      <c r="D22" s="16"/>
      <c r="E22" s="16"/>
      <c r="F22" s="16"/>
    </row>
    <row r="23" spans="1:6" x14ac:dyDescent="0.25">
      <c r="A23" s="16"/>
      <c r="B23" s="16"/>
      <c r="C23" s="16"/>
      <c r="D23" s="16"/>
      <c r="E23" s="16"/>
      <c r="F23" s="16"/>
    </row>
    <row r="24" spans="1:6" x14ac:dyDescent="0.25">
      <c r="A24" s="16"/>
      <c r="B24" s="16"/>
      <c r="C24" s="16"/>
      <c r="D24" s="16"/>
      <c r="E24" s="16"/>
      <c r="F24" s="16"/>
    </row>
    <row r="25" spans="1:6" x14ac:dyDescent="0.25">
      <c r="A25" s="16"/>
      <c r="B25" s="16"/>
      <c r="C25" s="16"/>
      <c r="D25" s="16"/>
      <c r="E25" s="16"/>
      <c r="F25" s="16"/>
    </row>
    <row r="26" spans="1:6" x14ac:dyDescent="0.25">
      <c r="A26" s="16"/>
      <c r="B26" s="16"/>
      <c r="C26" s="16"/>
      <c r="D26" s="16"/>
      <c r="E26" s="16"/>
      <c r="F26" s="16"/>
    </row>
    <row r="27" spans="1:6" x14ac:dyDescent="0.25">
      <c r="A27" s="16"/>
      <c r="B27" s="16"/>
      <c r="C27" s="16"/>
      <c r="D27" s="16"/>
      <c r="E27" s="16"/>
      <c r="F27" s="16"/>
    </row>
    <row r="28" spans="1:6" x14ac:dyDescent="0.25">
      <c r="A28" s="16"/>
      <c r="B28" s="16"/>
      <c r="C28" s="16"/>
      <c r="D28" s="16"/>
      <c r="E28" s="16"/>
      <c r="F28" s="16"/>
    </row>
    <row r="29" spans="1:6" x14ac:dyDescent="0.25">
      <c r="A29" s="16"/>
      <c r="B29" s="16"/>
      <c r="C29" s="16"/>
      <c r="D29" s="16"/>
      <c r="E29" s="16"/>
      <c r="F29" s="16"/>
    </row>
    <row r="30" spans="1:6" x14ac:dyDescent="0.25">
      <c r="A30" s="16"/>
      <c r="B30" s="16"/>
      <c r="C30" s="16"/>
      <c r="D30" s="16"/>
      <c r="E30" s="16"/>
      <c r="F30" s="16"/>
    </row>
    <row r="31" spans="1:6" x14ac:dyDescent="0.25">
      <c r="A31" s="16"/>
      <c r="B31" s="16"/>
      <c r="C31" s="16"/>
      <c r="D31" s="16"/>
      <c r="E31" s="16"/>
      <c r="F31" s="16"/>
    </row>
    <row r="32" spans="1:6" x14ac:dyDescent="0.25">
      <c r="A32" s="16"/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/>
      <c r="C34" s="16"/>
      <c r="D34" s="16"/>
      <c r="E34" s="16"/>
      <c r="F34" s="16"/>
    </row>
    <row r="35" spans="1:6" x14ac:dyDescent="0.25">
      <c r="A35" s="16"/>
      <c r="B35" s="16"/>
      <c r="C35" s="16"/>
      <c r="D35" s="16"/>
      <c r="E35" s="16"/>
      <c r="F35" s="16"/>
    </row>
    <row r="36" spans="1:6" x14ac:dyDescent="0.25">
      <c r="A36" s="16"/>
      <c r="B36" s="16"/>
      <c r="C36" s="16"/>
      <c r="D36" s="16"/>
      <c r="E36" s="16"/>
      <c r="F36" s="16"/>
    </row>
    <row r="37" spans="1:6" x14ac:dyDescent="0.25">
      <c r="A37" s="16"/>
      <c r="B37" s="16"/>
      <c r="C37" s="16"/>
      <c r="D37" s="16"/>
      <c r="E37" s="16"/>
      <c r="F37" s="16"/>
    </row>
    <row r="38" spans="1:6" x14ac:dyDescent="0.25">
      <c r="A38" s="16"/>
      <c r="B38" s="16"/>
      <c r="C38" s="16"/>
      <c r="D38" s="16"/>
      <c r="E38" s="16"/>
      <c r="F38" s="16"/>
    </row>
    <row r="39" spans="1:6" x14ac:dyDescent="0.25">
      <c r="A39" s="16"/>
      <c r="B39" s="16"/>
      <c r="C39" s="16"/>
      <c r="D39" s="16"/>
      <c r="E39" s="16"/>
      <c r="F39" s="16"/>
    </row>
    <row r="40" spans="1:6" x14ac:dyDescent="0.25">
      <c r="A40" s="16"/>
      <c r="B40" s="16"/>
      <c r="C40" s="16"/>
      <c r="D40" s="16"/>
      <c r="E40" s="16"/>
      <c r="F40" s="16"/>
    </row>
    <row r="41" spans="1:6" x14ac:dyDescent="0.25">
      <c r="A41" s="16"/>
      <c r="B41" s="16"/>
      <c r="C41" s="16"/>
      <c r="D41" s="16"/>
      <c r="E41" s="16"/>
      <c r="F41" s="16"/>
    </row>
    <row r="42" spans="1:6" x14ac:dyDescent="0.25">
      <c r="A42" s="16"/>
      <c r="B42" s="16"/>
      <c r="C42" s="16"/>
      <c r="D42" s="16"/>
      <c r="E42" s="16"/>
      <c r="F42" s="16"/>
    </row>
    <row r="43" spans="1:6" x14ac:dyDescent="0.25">
      <c r="A43" s="16"/>
      <c r="B43" s="16"/>
      <c r="C43" s="16"/>
      <c r="D43" s="16"/>
      <c r="E43" s="16"/>
      <c r="F43" s="16"/>
    </row>
    <row r="44" spans="1:6" x14ac:dyDescent="0.25">
      <c r="A44" s="16"/>
      <c r="B44" s="16"/>
      <c r="C44" s="16"/>
      <c r="D44" s="16"/>
      <c r="E44" s="16"/>
      <c r="F44" s="16"/>
    </row>
    <row r="45" spans="1:6" x14ac:dyDescent="0.25">
      <c r="A45" s="16"/>
      <c r="B45" s="16"/>
      <c r="C45" s="16"/>
      <c r="D45" s="16"/>
      <c r="E45" s="16"/>
      <c r="F45" s="16"/>
    </row>
    <row r="46" spans="1:6" x14ac:dyDescent="0.25">
      <c r="A46" s="16"/>
      <c r="B46" s="16"/>
      <c r="C46" s="16"/>
      <c r="D46" s="16"/>
      <c r="E46" s="16"/>
      <c r="F46" s="16"/>
    </row>
    <row r="47" spans="1:6" x14ac:dyDescent="0.25">
      <c r="A47" s="16"/>
      <c r="B47" s="16"/>
      <c r="C47" s="16"/>
      <c r="D47" s="16"/>
      <c r="E47" s="16"/>
      <c r="F47" s="16"/>
    </row>
    <row r="48" spans="1:6" x14ac:dyDescent="0.25">
      <c r="A48" s="16"/>
      <c r="B48" s="16"/>
      <c r="C48" s="16"/>
      <c r="D48" s="16"/>
      <c r="E48" s="16"/>
      <c r="F48" s="16"/>
    </row>
    <row r="49" spans="1:6" x14ac:dyDescent="0.25">
      <c r="A49" s="16"/>
      <c r="B49" s="16"/>
      <c r="C49" s="16"/>
      <c r="D49" s="16"/>
      <c r="E49" s="16"/>
      <c r="F49" s="16"/>
    </row>
    <row r="50" spans="1:6" x14ac:dyDescent="0.25">
      <c r="A50" s="16"/>
      <c r="B50" s="16"/>
      <c r="C50" s="16"/>
      <c r="D50" s="16"/>
      <c r="E50" s="16"/>
      <c r="F50" s="16"/>
    </row>
    <row r="51" spans="1:6" x14ac:dyDescent="0.25">
      <c r="A51" s="16"/>
      <c r="B51" s="16"/>
      <c r="C51" s="16"/>
      <c r="D51" s="16"/>
      <c r="E51" s="16"/>
      <c r="F51" s="16"/>
    </row>
    <row r="52" spans="1:6" x14ac:dyDescent="0.25">
      <c r="A52" s="16"/>
      <c r="B52" s="16"/>
      <c r="C52" s="16"/>
      <c r="D52" s="16"/>
      <c r="E52" s="16"/>
      <c r="F52" s="16"/>
    </row>
    <row r="53" spans="1:6" x14ac:dyDescent="0.25">
      <c r="A53" s="16"/>
      <c r="B53" s="16"/>
      <c r="C53" s="16"/>
      <c r="D53" s="16"/>
      <c r="E53" s="16"/>
      <c r="F53" s="16"/>
    </row>
    <row r="54" spans="1:6" x14ac:dyDescent="0.25">
      <c r="A54" s="16"/>
      <c r="B54" s="16"/>
      <c r="C54" s="16"/>
      <c r="D54" s="16"/>
      <c r="E54" s="16"/>
      <c r="F54" s="16"/>
    </row>
    <row r="55" spans="1:6" x14ac:dyDescent="0.25">
      <c r="A55" s="16"/>
      <c r="B55" s="16"/>
      <c r="C55" s="16"/>
      <c r="D55" s="16"/>
      <c r="E55" s="16"/>
      <c r="F55" s="16"/>
    </row>
    <row r="56" spans="1:6" x14ac:dyDescent="0.25">
      <c r="A56" s="16"/>
      <c r="B56" s="16"/>
      <c r="C56" s="16"/>
      <c r="D56" s="16"/>
      <c r="E56" s="16"/>
      <c r="F56" s="16"/>
    </row>
    <row r="57" spans="1:6" x14ac:dyDescent="0.25">
      <c r="A57" s="16"/>
      <c r="B57" s="16"/>
      <c r="C57" s="16"/>
      <c r="D57" s="16"/>
      <c r="E57" s="16"/>
      <c r="F57" s="16"/>
    </row>
    <row r="58" spans="1:6" x14ac:dyDescent="0.25">
      <c r="A58" s="16"/>
      <c r="B58" s="16"/>
      <c r="C58" s="16"/>
      <c r="D58" s="16"/>
      <c r="E58" s="16"/>
      <c r="F58" s="16"/>
    </row>
    <row r="59" spans="1:6" x14ac:dyDescent="0.25">
      <c r="A59" s="16"/>
      <c r="B59" s="16"/>
      <c r="C59" s="16"/>
      <c r="D59" s="16"/>
      <c r="E59" s="16"/>
      <c r="F59" s="16"/>
    </row>
    <row r="60" spans="1:6" x14ac:dyDescent="0.25">
      <c r="A60" s="16"/>
      <c r="B60" s="16"/>
      <c r="C60" s="16"/>
      <c r="D60" s="16"/>
      <c r="E60" s="16"/>
      <c r="F60" s="16"/>
    </row>
    <row r="61" spans="1:6" x14ac:dyDescent="0.25">
      <c r="A61" s="16"/>
      <c r="B61" s="16"/>
      <c r="C61" s="16"/>
      <c r="D61" s="16"/>
      <c r="E61" s="16"/>
      <c r="F61" s="16"/>
    </row>
    <row r="62" spans="1:6" x14ac:dyDescent="0.25">
      <c r="A62" s="16"/>
      <c r="B62" s="16"/>
      <c r="C62" s="16"/>
      <c r="D62" s="16"/>
      <c r="E62" s="16"/>
      <c r="F62" s="16"/>
    </row>
    <row r="63" spans="1:6" x14ac:dyDescent="0.25">
      <c r="A63" s="16"/>
      <c r="B63" s="16"/>
      <c r="C63" s="16"/>
      <c r="D63" s="16"/>
      <c r="E63" s="16"/>
      <c r="F63" s="16"/>
    </row>
    <row r="64" spans="1:6" x14ac:dyDescent="0.25">
      <c r="A64" s="16"/>
      <c r="B64" s="16"/>
      <c r="C64" s="16"/>
      <c r="D64" s="16"/>
      <c r="E64" s="16"/>
      <c r="F64" s="16"/>
    </row>
    <row r="65" spans="1:6" x14ac:dyDescent="0.25">
      <c r="A65" s="16"/>
      <c r="B65" s="16"/>
      <c r="C65" s="16"/>
      <c r="D65" s="16"/>
      <c r="E65" s="16"/>
      <c r="F65" s="16"/>
    </row>
    <row r="66" spans="1:6" x14ac:dyDescent="0.25">
      <c r="A66" s="16"/>
      <c r="B66" s="16"/>
      <c r="C66" s="16"/>
      <c r="D66" s="16"/>
      <c r="E66" s="16"/>
      <c r="F66" s="16"/>
    </row>
    <row r="67" spans="1:6" x14ac:dyDescent="0.25">
      <c r="A67" s="16"/>
      <c r="B67" s="16"/>
      <c r="C67" s="16"/>
      <c r="D67" s="16"/>
      <c r="E67" s="16"/>
      <c r="F67" s="16"/>
    </row>
    <row r="68" spans="1:6" x14ac:dyDescent="0.25">
      <c r="A68" s="16"/>
      <c r="B68" s="16"/>
      <c r="C68" s="16"/>
      <c r="D68" s="16"/>
      <c r="E68" s="16"/>
      <c r="F68" s="16"/>
    </row>
    <row r="69" spans="1:6" x14ac:dyDescent="0.25">
      <c r="A69" s="16"/>
      <c r="B69" s="16"/>
      <c r="C69" s="16"/>
      <c r="D69" s="16"/>
      <c r="E69" s="16"/>
      <c r="F69" s="16"/>
    </row>
    <row r="70" spans="1:6" x14ac:dyDescent="0.25">
      <c r="A70" s="16"/>
      <c r="B70" s="16"/>
      <c r="C70" s="16"/>
      <c r="D70" s="16"/>
      <c r="E70" s="16"/>
      <c r="F70" s="16"/>
    </row>
    <row r="71" spans="1:6" x14ac:dyDescent="0.25">
      <c r="A71" s="16"/>
      <c r="B71" s="16"/>
      <c r="C71" s="16"/>
      <c r="D71" s="16"/>
      <c r="E71" s="16"/>
      <c r="F71" s="16"/>
    </row>
    <row r="72" spans="1:6" x14ac:dyDescent="0.25">
      <c r="A72" s="16"/>
      <c r="B72" s="16"/>
      <c r="C72" s="16"/>
      <c r="D72" s="16"/>
      <c r="E72" s="16"/>
      <c r="F72" s="16"/>
    </row>
    <row r="73" spans="1:6" x14ac:dyDescent="0.25">
      <c r="A73" s="16"/>
      <c r="B73" s="16"/>
      <c r="C73" s="16"/>
      <c r="D73" s="16"/>
      <c r="E73" s="16"/>
      <c r="F73" s="16"/>
    </row>
    <row r="74" spans="1:6" x14ac:dyDescent="0.25">
      <c r="A74" s="16"/>
      <c r="B74" s="16"/>
      <c r="C74" s="16"/>
      <c r="D74" s="16"/>
      <c r="E74" s="16"/>
      <c r="F74" s="16"/>
    </row>
    <row r="75" spans="1:6" x14ac:dyDescent="0.25">
      <c r="A75" s="16"/>
      <c r="B75" s="16"/>
      <c r="C75" s="16"/>
      <c r="D75" s="16"/>
      <c r="E75" s="16"/>
      <c r="F75" s="16"/>
    </row>
    <row r="76" spans="1:6" x14ac:dyDescent="0.25">
      <c r="A76" s="16"/>
      <c r="B76" s="16"/>
      <c r="C76" s="16"/>
      <c r="D76" s="16"/>
      <c r="E76" s="16"/>
      <c r="F76" s="16"/>
    </row>
    <row r="77" spans="1:6" x14ac:dyDescent="0.25">
      <c r="A77" s="16"/>
      <c r="B77" s="16"/>
      <c r="C77" s="16"/>
      <c r="D77" s="16"/>
      <c r="E77" s="16"/>
      <c r="F77" s="16"/>
    </row>
    <row r="78" spans="1:6" x14ac:dyDescent="0.25">
      <c r="A78" s="16"/>
      <c r="B78" s="16"/>
      <c r="C78" s="16"/>
      <c r="D78" s="16"/>
      <c r="E78" s="16"/>
      <c r="F78" s="16"/>
    </row>
    <row r="79" spans="1:6" x14ac:dyDescent="0.25">
      <c r="A79" s="16"/>
      <c r="B79" s="16"/>
      <c r="C79" s="16"/>
      <c r="D79" s="16"/>
      <c r="E79" s="16"/>
      <c r="F79" s="16"/>
    </row>
    <row r="80" spans="1:6" x14ac:dyDescent="0.25">
      <c r="A80" s="16"/>
      <c r="B80" s="16"/>
      <c r="C80" s="16"/>
      <c r="D80" s="16"/>
      <c r="E80" s="16"/>
      <c r="F80" s="16"/>
    </row>
    <row r="81" spans="1:6" x14ac:dyDescent="0.25">
      <c r="A81" s="16"/>
      <c r="B81" s="16"/>
      <c r="C81" s="16"/>
      <c r="D81" s="16"/>
      <c r="E81" s="16"/>
      <c r="F81" s="16"/>
    </row>
  </sheetData>
  <sheetProtection sheet="1" objects="1" scenarios="1"/>
  <sortState xmlns:xlrd2="http://schemas.microsoft.com/office/spreadsheetml/2017/richdata2" ref="M1:N25">
    <sortCondition ref="N1:N2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8B34-30D1-4C7F-A1A9-95FD7C1F29DC}">
  <sheetPr>
    <tabColor theme="7" tint="0.79998168889431442"/>
  </sheetPr>
  <dimension ref="A1:E3792"/>
  <sheetViews>
    <sheetView workbookViewId="0"/>
  </sheetViews>
  <sheetFormatPr baseColWidth="10" defaultRowHeight="15" x14ac:dyDescent="0.25"/>
  <cols>
    <col min="1" max="1" width="46.28515625" customWidth="1"/>
    <col min="2" max="2" width="43.85546875" customWidth="1"/>
    <col min="3" max="3" width="18.5703125" customWidth="1"/>
  </cols>
  <sheetData>
    <row r="1" spans="1:5" x14ac:dyDescent="0.25">
      <c r="A1" t="s">
        <v>35</v>
      </c>
      <c r="B1" t="s">
        <v>36</v>
      </c>
      <c r="C1" t="s">
        <v>37</v>
      </c>
      <c r="E1" t="s">
        <v>1095</v>
      </c>
    </row>
    <row r="2" spans="1:5" x14ac:dyDescent="0.25">
      <c r="A2" s="10" t="s">
        <v>39</v>
      </c>
      <c r="B2" s="10" t="s">
        <v>40</v>
      </c>
      <c r="C2" s="10">
        <v>886230</v>
      </c>
      <c r="E2" t="s">
        <v>1084</v>
      </c>
    </row>
    <row r="3" spans="1:5" x14ac:dyDescent="0.25">
      <c r="A3" s="10" t="s">
        <v>1016</v>
      </c>
      <c r="B3" s="10" t="s">
        <v>262</v>
      </c>
      <c r="C3" s="10">
        <v>4597</v>
      </c>
      <c r="E3" t="s">
        <v>1085</v>
      </c>
    </row>
    <row r="4" spans="1:5" x14ac:dyDescent="0.25">
      <c r="A4" s="10" t="s">
        <v>41</v>
      </c>
      <c r="B4" s="10" t="s">
        <v>42</v>
      </c>
      <c r="C4" s="10">
        <v>2891</v>
      </c>
      <c r="E4" t="s">
        <v>1102</v>
      </c>
    </row>
    <row r="5" spans="1:5" x14ac:dyDescent="0.25">
      <c r="A5" s="10" t="s">
        <v>43</v>
      </c>
      <c r="B5" s="10" t="s">
        <v>44</v>
      </c>
      <c r="C5" s="10">
        <v>2895</v>
      </c>
      <c r="E5" t="s">
        <v>1086</v>
      </c>
    </row>
    <row r="6" spans="1:5" x14ac:dyDescent="0.25">
      <c r="A6" s="10" t="s">
        <v>45</v>
      </c>
      <c r="B6" s="10" t="s">
        <v>46</v>
      </c>
      <c r="C6" s="10">
        <v>199459</v>
      </c>
    </row>
    <row r="7" spans="1:5" x14ac:dyDescent="0.25">
      <c r="A7" s="10" t="s">
        <v>47</v>
      </c>
      <c r="B7" s="10" t="s">
        <v>48</v>
      </c>
      <c r="C7" s="10">
        <v>4198</v>
      </c>
    </row>
    <row r="8" spans="1:5" x14ac:dyDescent="0.25">
      <c r="A8" s="10" t="s">
        <v>49</v>
      </c>
      <c r="B8" s="10" t="s">
        <v>50</v>
      </c>
      <c r="C8" s="10">
        <v>4190</v>
      </c>
    </row>
    <row r="9" spans="1:5" x14ac:dyDescent="0.25">
      <c r="A9" s="10" t="s">
        <v>51</v>
      </c>
      <c r="B9" s="10"/>
      <c r="C9" s="10">
        <v>188772</v>
      </c>
    </row>
    <row r="10" spans="1:5" x14ac:dyDescent="0.25">
      <c r="A10" s="10" t="s">
        <v>52</v>
      </c>
      <c r="B10" s="10" t="s">
        <v>53</v>
      </c>
      <c r="C10" s="10">
        <v>4180</v>
      </c>
    </row>
    <row r="11" spans="1:5" x14ac:dyDescent="0.25">
      <c r="A11" s="10" t="s">
        <v>54</v>
      </c>
      <c r="B11" s="10" t="s">
        <v>55</v>
      </c>
      <c r="C11" s="10">
        <v>4184</v>
      </c>
    </row>
    <row r="12" spans="1:5" x14ac:dyDescent="0.25">
      <c r="A12" s="10" t="s">
        <v>56</v>
      </c>
      <c r="B12" s="10" t="s">
        <v>57</v>
      </c>
      <c r="C12" s="10">
        <v>4192</v>
      </c>
    </row>
    <row r="13" spans="1:5" x14ac:dyDescent="0.25">
      <c r="A13" s="10" t="s">
        <v>58</v>
      </c>
      <c r="B13" s="10" t="s">
        <v>59</v>
      </c>
      <c r="C13" s="10">
        <v>4187</v>
      </c>
    </row>
    <row r="14" spans="1:5" x14ac:dyDescent="0.25">
      <c r="A14" s="10" t="s">
        <v>60</v>
      </c>
      <c r="B14" s="10" t="s">
        <v>61</v>
      </c>
      <c r="C14" s="10">
        <v>4195</v>
      </c>
    </row>
    <row r="15" spans="1:5" x14ac:dyDescent="0.25">
      <c r="A15" s="10" t="s">
        <v>62</v>
      </c>
      <c r="B15" s="10" t="s">
        <v>63</v>
      </c>
      <c r="C15" s="10">
        <v>2616</v>
      </c>
    </row>
    <row r="16" spans="1:5" x14ac:dyDescent="0.25">
      <c r="A16" s="10" t="s">
        <v>1017</v>
      </c>
      <c r="B16" s="10"/>
      <c r="C16" s="10">
        <v>188807</v>
      </c>
    </row>
    <row r="17" spans="1:3" x14ac:dyDescent="0.25">
      <c r="A17" s="10" t="s">
        <v>64</v>
      </c>
      <c r="B17" s="10" t="s">
        <v>65</v>
      </c>
      <c r="C17" s="10">
        <v>4342</v>
      </c>
    </row>
    <row r="18" spans="1:3" x14ac:dyDescent="0.25">
      <c r="A18" s="10" t="s">
        <v>66</v>
      </c>
      <c r="B18" s="10" t="s">
        <v>67</v>
      </c>
      <c r="C18" s="10">
        <v>2776</v>
      </c>
    </row>
    <row r="19" spans="1:3" x14ac:dyDescent="0.25">
      <c r="A19" s="10" t="s">
        <v>68</v>
      </c>
      <c r="B19" s="10" t="s">
        <v>69</v>
      </c>
      <c r="C19" s="10">
        <v>2775</v>
      </c>
    </row>
    <row r="20" spans="1:3" x14ac:dyDescent="0.25">
      <c r="A20" s="10" t="s">
        <v>70</v>
      </c>
      <c r="B20" s="10" t="s">
        <v>71</v>
      </c>
      <c r="C20" s="10">
        <v>3676</v>
      </c>
    </row>
    <row r="21" spans="1:3" x14ac:dyDescent="0.25">
      <c r="A21" s="10" t="s">
        <v>72</v>
      </c>
      <c r="B21" s="10" t="s">
        <v>73</v>
      </c>
      <c r="C21" s="10">
        <v>3388</v>
      </c>
    </row>
    <row r="22" spans="1:3" x14ac:dyDescent="0.25">
      <c r="A22" s="10" t="s">
        <v>74</v>
      </c>
      <c r="B22" s="10" t="s">
        <v>75</v>
      </c>
      <c r="C22" s="10">
        <v>3571</v>
      </c>
    </row>
    <row r="23" spans="1:3" x14ac:dyDescent="0.25">
      <c r="A23" s="10" t="s">
        <v>76</v>
      </c>
      <c r="B23" s="10" t="s">
        <v>77</v>
      </c>
      <c r="C23" s="10">
        <v>185996</v>
      </c>
    </row>
    <row r="24" spans="1:3" x14ac:dyDescent="0.25">
      <c r="A24" s="10" t="s">
        <v>78</v>
      </c>
      <c r="B24" s="10" t="s">
        <v>79</v>
      </c>
      <c r="C24" s="10">
        <v>2975</v>
      </c>
    </row>
    <row r="25" spans="1:3" x14ac:dyDescent="0.25">
      <c r="A25" s="10" t="s">
        <v>80</v>
      </c>
      <c r="B25" s="10" t="s">
        <v>81</v>
      </c>
      <c r="C25" s="10">
        <v>3396</v>
      </c>
    </row>
    <row r="26" spans="1:3" x14ac:dyDescent="0.25">
      <c r="A26" s="10" t="s">
        <v>82</v>
      </c>
      <c r="B26" s="10" t="s">
        <v>83</v>
      </c>
      <c r="C26" s="10">
        <v>459626</v>
      </c>
    </row>
    <row r="27" spans="1:3" x14ac:dyDescent="0.25">
      <c r="A27" s="10" t="s">
        <v>84</v>
      </c>
      <c r="B27" s="10" t="s">
        <v>85</v>
      </c>
      <c r="C27" s="10">
        <v>1973</v>
      </c>
    </row>
    <row r="28" spans="1:3" x14ac:dyDescent="0.25">
      <c r="A28" s="10" t="s">
        <v>86</v>
      </c>
      <c r="B28" s="10" t="s">
        <v>87</v>
      </c>
      <c r="C28" s="10">
        <v>1948</v>
      </c>
    </row>
    <row r="29" spans="1:3" x14ac:dyDescent="0.25">
      <c r="A29" s="10" t="s">
        <v>90</v>
      </c>
      <c r="B29" s="10" t="s">
        <v>91</v>
      </c>
      <c r="C29" s="10">
        <v>1961</v>
      </c>
    </row>
    <row r="30" spans="1:3" x14ac:dyDescent="0.25">
      <c r="A30" s="10" t="s">
        <v>92</v>
      </c>
      <c r="B30" s="10" t="s">
        <v>93</v>
      </c>
      <c r="C30" s="10">
        <v>1960</v>
      </c>
    </row>
    <row r="31" spans="1:3" x14ac:dyDescent="0.25">
      <c r="A31" s="10" t="s">
        <v>94</v>
      </c>
      <c r="B31" s="10" t="s">
        <v>93</v>
      </c>
      <c r="C31" s="10">
        <v>1958</v>
      </c>
    </row>
    <row r="32" spans="1:3" x14ac:dyDescent="0.25">
      <c r="A32" s="10" t="s">
        <v>97</v>
      </c>
      <c r="B32" s="10"/>
      <c r="C32" s="10">
        <v>189130</v>
      </c>
    </row>
    <row r="33" spans="1:3" x14ac:dyDescent="0.25">
      <c r="A33" s="10" t="s">
        <v>99</v>
      </c>
      <c r="B33" s="10" t="s">
        <v>100</v>
      </c>
      <c r="C33" s="10">
        <v>1966</v>
      </c>
    </row>
    <row r="34" spans="1:3" x14ac:dyDescent="0.25">
      <c r="A34" s="10" t="s">
        <v>1018</v>
      </c>
      <c r="B34" s="10"/>
      <c r="C34" s="10">
        <v>933144</v>
      </c>
    </row>
    <row r="35" spans="1:3" x14ac:dyDescent="0.25">
      <c r="A35" s="10" t="s">
        <v>103</v>
      </c>
      <c r="B35" s="10"/>
      <c r="C35" s="10">
        <v>185967</v>
      </c>
    </row>
    <row r="36" spans="1:3" x14ac:dyDescent="0.25">
      <c r="A36" s="10" t="s">
        <v>104</v>
      </c>
      <c r="B36" s="10" t="s">
        <v>105</v>
      </c>
      <c r="C36" s="10">
        <v>2734</v>
      </c>
    </row>
    <row r="37" spans="1:3" x14ac:dyDescent="0.25">
      <c r="A37" s="10" t="s">
        <v>106</v>
      </c>
      <c r="B37" s="10" t="s">
        <v>107</v>
      </c>
      <c r="C37" s="10">
        <v>2741</v>
      </c>
    </row>
    <row r="38" spans="1:3" x14ac:dyDescent="0.25">
      <c r="A38" s="10" t="s">
        <v>108</v>
      </c>
      <c r="B38" s="10"/>
      <c r="C38" s="10">
        <v>2745</v>
      </c>
    </row>
    <row r="39" spans="1:3" x14ac:dyDescent="0.25">
      <c r="A39" s="10" t="s">
        <v>109</v>
      </c>
      <c r="B39" s="10" t="s">
        <v>110</v>
      </c>
      <c r="C39" s="10">
        <v>2725</v>
      </c>
    </row>
    <row r="40" spans="1:3" x14ac:dyDescent="0.25">
      <c r="A40" s="10" t="s">
        <v>111</v>
      </c>
      <c r="B40" s="10"/>
      <c r="C40" s="10">
        <v>189224</v>
      </c>
    </row>
    <row r="41" spans="1:3" x14ac:dyDescent="0.25">
      <c r="A41" s="10" t="s">
        <v>1019</v>
      </c>
      <c r="B41" s="10" t="s">
        <v>88</v>
      </c>
      <c r="C41" s="10">
        <v>2727</v>
      </c>
    </row>
    <row r="42" spans="1:3" x14ac:dyDescent="0.25">
      <c r="A42" s="10" t="s">
        <v>112</v>
      </c>
      <c r="B42" s="10" t="s">
        <v>113</v>
      </c>
      <c r="C42" s="10">
        <v>2739</v>
      </c>
    </row>
    <row r="43" spans="1:3" x14ac:dyDescent="0.25">
      <c r="A43" s="10" t="s">
        <v>114</v>
      </c>
      <c r="B43" s="10"/>
      <c r="C43" s="10">
        <v>2723</v>
      </c>
    </row>
    <row r="44" spans="1:3" x14ac:dyDescent="0.25">
      <c r="A44" s="10" t="s">
        <v>115</v>
      </c>
      <c r="B44" s="10" t="s">
        <v>116</v>
      </c>
      <c r="C44" s="10">
        <v>2720</v>
      </c>
    </row>
    <row r="45" spans="1:3" x14ac:dyDescent="0.25">
      <c r="A45" s="10" t="s">
        <v>117</v>
      </c>
      <c r="B45" s="10"/>
      <c r="C45" s="10">
        <v>2724</v>
      </c>
    </row>
    <row r="46" spans="1:3" x14ac:dyDescent="0.25">
      <c r="A46" s="10" t="s">
        <v>118</v>
      </c>
      <c r="B46" s="10" t="s">
        <v>119</v>
      </c>
      <c r="C46" s="10">
        <v>2731</v>
      </c>
    </row>
    <row r="47" spans="1:3" x14ac:dyDescent="0.25">
      <c r="A47" s="10" t="s">
        <v>120</v>
      </c>
      <c r="B47" s="10" t="s">
        <v>121</v>
      </c>
      <c r="C47" s="10">
        <v>3081</v>
      </c>
    </row>
    <row r="48" spans="1:3" x14ac:dyDescent="0.25">
      <c r="A48" s="10" t="s">
        <v>122</v>
      </c>
      <c r="B48" s="10"/>
      <c r="C48" s="10">
        <v>189257</v>
      </c>
    </row>
    <row r="49" spans="1:3" x14ac:dyDescent="0.25">
      <c r="A49" s="10" t="s">
        <v>123</v>
      </c>
      <c r="B49" s="10" t="s">
        <v>124</v>
      </c>
      <c r="C49" s="10">
        <v>3713</v>
      </c>
    </row>
    <row r="50" spans="1:3" x14ac:dyDescent="0.25">
      <c r="A50" s="10" t="s">
        <v>125</v>
      </c>
      <c r="B50" s="10" t="s">
        <v>126</v>
      </c>
      <c r="C50" s="10">
        <v>3729</v>
      </c>
    </row>
    <row r="51" spans="1:3" x14ac:dyDescent="0.25">
      <c r="A51" s="10" t="s">
        <v>127</v>
      </c>
      <c r="B51" s="10" t="s">
        <v>128</v>
      </c>
      <c r="C51" s="10">
        <v>3716</v>
      </c>
    </row>
    <row r="52" spans="1:3" x14ac:dyDescent="0.25">
      <c r="A52" s="10" t="s">
        <v>129</v>
      </c>
      <c r="B52" s="10" t="s">
        <v>130</v>
      </c>
      <c r="C52" s="10">
        <v>3726</v>
      </c>
    </row>
    <row r="53" spans="1:3" x14ac:dyDescent="0.25">
      <c r="A53" s="10" t="s">
        <v>131</v>
      </c>
      <c r="B53" s="10" t="s">
        <v>132</v>
      </c>
      <c r="C53" s="10">
        <v>3709</v>
      </c>
    </row>
    <row r="54" spans="1:3" x14ac:dyDescent="0.25">
      <c r="A54" s="10" t="s">
        <v>133</v>
      </c>
      <c r="B54" s="10" t="s">
        <v>134</v>
      </c>
      <c r="C54" s="10">
        <v>3733</v>
      </c>
    </row>
    <row r="55" spans="1:3" x14ac:dyDescent="0.25">
      <c r="A55" s="10" t="s">
        <v>135</v>
      </c>
      <c r="B55" s="10" t="s">
        <v>136</v>
      </c>
      <c r="C55" s="10">
        <v>3723</v>
      </c>
    </row>
    <row r="56" spans="1:3" x14ac:dyDescent="0.25">
      <c r="A56" s="10" t="s">
        <v>138</v>
      </c>
      <c r="B56" s="10" t="s">
        <v>139</v>
      </c>
      <c r="C56" s="10">
        <v>3551</v>
      </c>
    </row>
    <row r="57" spans="1:3" x14ac:dyDescent="0.25">
      <c r="A57" s="10" t="s">
        <v>140</v>
      </c>
      <c r="B57" s="10" t="s">
        <v>141</v>
      </c>
      <c r="C57" s="10">
        <v>3555</v>
      </c>
    </row>
    <row r="58" spans="1:3" x14ac:dyDescent="0.25">
      <c r="A58" s="10" t="s">
        <v>142</v>
      </c>
      <c r="B58" s="10" t="s">
        <v>143</v>
      </c>
      <c r="C58" s="10">
        <v>2645</v>
      </c>
    </row>
    <row r="59" spans="1:3" x14ac:dyDescent="0.25">
      <c r="A59" s="10" t="s">
        <v>145</v>
      </c>
      <c r="B59" s="10" t="s">
        <v>146</v>
      </c>
      <c r="C59" s="10">
        <v>2657</v>
      </c>
    </row>
    <row r="60" spans="1:3" x14ac:dyDescent="0.25">
      <c r="A60" s="10" t="s">
        <v>148</v>
      </c>
      <c r="B60" s="10"/>
      <c r="C60" s="10">
        <v>782527</v>
      </c>
    </row>
    <row r="61" spans="1:3" x14ac:dyDescent="0.25">
      <c r="A61" s="10" t="s">
        <v>149</v>
      </c>
      <c r="B61" s="10" t="s">
        <v>150</v>
      </c>
      <c r="C61" s="10">
        <v>2504</v>
      </c>
    </row>
    <row r="62" spans="1:3" x14ac:dyDescent="0.25">
      <c r="A62" s="10" t="s">
        <v>151</v>
      </c>
      <c r="B62" s="10" t="s">
        <v>150</v>
      </c>
      <c r="C62" s="10">
        <v>728061</v>
      </c>
    </row>
    <row r="63" spans="1:3" x14ac:dyDescent="0.25">
      <c r="A63" s="10" t="s">
        <v>152</v>
      </c>
      <c r="B63" s="10" t="s">
        <v>153</v>
      </c>
      <c r="C63" s="10">
        <v>2506</v>
      </c>
    </row>
    <row r="64" spans="1:3" x14ac:dyDescent="0.25">
      <c r="A64" s="10" t="s">
        <v>155</v>
      </c>
      <c r="B64" s="10" t="s">
        <v>156</v>
      </c>
      <c r="C64" s="10">
        <v>2508</v>
      </c>
    </row>
    <row r="65" spans="1:3" x14ac:dyDescent="0.25">
      <c r="A65" s="10" t="s">
        <v>157</v>
      </c>
      <c r="B65" s="10" t="s">
        <v>158</v>
      </c>
      <c r="C65" s="10">
        <v>790987</v>
      </c>
    </row>
    <row r="66" spans="1:3" x14ac:dyDescent="0.25">
      <c r="A66" s="10" t="s">
        <v>159</v>
      </c>
      <c r="B66" s="10" t="s">
        <v>160</v>
      </c>
      <c r="C66" s="10">
        <v>683212</v>
      </c>
    </row>
    <row r="67" spans="1:3" x14ac:dyDescent="0.25">
      <c r="A67" s="10" t="s">
        <v>161</v>
      </c>
      <c r="B67" s="10" t="s">
        <v>162</v>
      </c>
      <c r="C67" s="10">
        <v>2486</v>
      </c>
    </row>
    <row r="68" spans="1:3" x14ac:dyDescent="0.25">
      <c r="A68" s="10" t="s">
        <v>163</v>
      </c>
      <c r="B68" s="10"/>
      <c r="C68" s="10">
        <v>189423</v>
      </c>
    </row>
    <row r="69" spans="1:3" x14ac:dyDescent="0.25">
      <c r="A69" s="10" t="s">
        <v>164</v>
      </c>
      <c r="B69" s="10" t="s">
        <v>1020</v>
      </c>
      <c r="C69" s="10">
        <v>3239</v>
      </c>
    </row>
    <row r="70" spans="1:3" x14ac:dyDescent="0.25">
      <c r="A70" s="10" t="s">
        <v>165</v>
      </c>
      <c r="B70" s="10" t="s">
        <v>166</v>
      </c>
      <c r="C70" s="10">
        <v>3525</v>
      </c>
    </row>
    <row r="71" spans="1:3" x14ac:dyDescent="0.25">
      <c r="A71" s="10" t="s">
        <v>167</v>
      </c>
      <c r="B71" s="10" t="s">
        <v>168</v>
      </c>
      <c r="C71" s="10">
        <v>3522</v>
      </c>
    </row>
    <row r="72" spans="1:3" x14ac:dyDescent="0.25">
      <c r="A72" s="10" t="s">
        <v>169</v>
      </c>
      <c r="B72" s="10" t="s">
        <v>170</v>
      </c>
      <c r="C72" s="10">
        <v>3511</v>
      </c>
    </row>
    <row r="73" spans="1:3" x14ac:dyDescent="0.25">
      <c r="A73" s="10" t="s">
        <v>1101</v>
      </c>
      <c r="B73" s="10" t="s">
        <v>1101</v>
      </c>
      <c r="C73" s="10">
        <v>100000000</v>
      </c>
    </row>
    <row r="74" spans="1:3" x14ac:dyDescent="0.25">
      <c r="A74" s="10" t="s">
        <v>171</v>
      </c>
      <c r="B74" s="10" t="s">
        <v>172</v>
      </c>
      <c r="C74" s="10">
        <v>185961</v>
      </c>
    </row>
    <row r="75" spans="1:3" x14ac:dyDescent="0.25">
      <c r="A75" s="10" t="s">
        <v>173</v>
      </c>
      <c r="B75" s="10" t="s">
        <v>1021</v>
      </c>
      <c r="C75" s="10">
        <v>199305</v>
      </c>
    </row>
    <row r="76" spans="1:3" x14ac:dyDescent="0.25">
      <c r="A76" s="10" t="s">
        <v>174</v>
      </c>
      <c r="B76" s="10" t="s">
        <v>1022</v>
      </c>
      <c r="C76" s="10">
        <v>1988</v>
      </c>
    </row>
    <row r="77" spans="1:3" x14ac:dyDescent="0.25">
      <c r="A77" s="10" t="s">
        <v>175</v>
      </c>
      <c r="B77" s="10" t="s">
        <v>176</v>
      </c>
      <c r="C77" s="10">
        <v>1991</v>
      </c>
    </row>
    <row r="78" spans="1:3" x14ac:dyDescent="0.25">
      <c r="A78" s="10" t="s">
        <v>177</v>
      </c>
      <c r="B78" s="10" t="s">
        <v>178</v>
      </c>
      <c r="C78" s="10">
        <v>1998</v>
      </c>
    </row>
    <row r="79" spans="1:3" x14ac:dyDescent="0.25">
      <c r="A79" s="10" t="s">
        <v>179</v>
      </c>
      <c r="B79" s="10" t="s">
        <v>180</v>
      </c>
      <c r="C79" s="10">
        <v>2001</v>
      </c>
    </row>
    <row r="80" spans="1:3" x14ac:dyDescent="0.25">
      <c r="A80" s="10" t="s">
        <v>181</v>
      </c>
      <c r="B80" s="10" t="s">
        <v>182</v>
      </c>
      <c r="C80" s="10">
        <v>1995</v>
      </c>
    </row>
    <row r="81" spans="1:3" x14ac:dyDescent="0.25">
      <c r="A81" s="10" t="s">
        <v>183</v>
      </c>
      <c r="B81" s="10" t="s">
        <v>184</v>
      </c>
      <c r="C81" s="10">
        <v>3953</v>
      </c>
    </row>
    <row r="82" spans="1:3" x14ac:dyDescent="0.25">
      <c r="A82" s="10" t="s">
        <v>185</v>
      </c>
      <c r="B82" s="10" t="s">
        <v>186</v>
      </c>
      <c r="C82" s="10">
        <v>2473</v>
      </c>
    </row>
    <row r="83" spans="1:3" x14ac:dyDescent="0.25">
      <c r="A83" s="10" t="s">
        <v>1023</v>
      </c>
      <c r="B83" s="10" t="s">
        <v>1024</v>
      </c>
      <c r="C83" s="10">
        <v>2762</v>
      </c>
    </row>
    <row r="84" spans="1:3" x14ac:dyDescent="0.25">
      <c r="A84" s="10" t="s">
        <v>187</v>
      </c>
      <c r="B84" s="10" t="s">
        <v>188</v>
      </c>
      <c r="C84" s="10">
        <v>2757</v>
      </c>
    </row>
    <row r="85" spans="1:3" x14ac:dyDescent="0.25">
      <c r="A85" s="10" t="s">
        <v>1025</v>
      </c>
      <c r="B85" s="10" t="s">
        <v>193</v>
      </c>
      <c r="C85" s="10">
        <v>534762</v>
      </c>
    </row>
    <row r="86" spans="1:3" x14ac:dyDescent="0.25">
      <c r="A86" s="10" t="s">
        <v>189</v>
      </c>
      <c r="B86" s="10" t="s">
        <v>190</v>
      </c>
      <c r="C86" s="10">
        <v>2747</v>
      </c>
    </row>
    <row r="87" spans="1:3" x14ac:dyDescent="0.25">
      <c r="A87" s="10" t="s">
        <v>191</v>
      </c>
      <c r="B87" s="10" t="s">
        <v>192</v>
      </c>
      <c r="C87" s="10">
        <v>2750</v>
      </c>
    </row>
    <row r="88" spans="1:3" x14ac:dyDescent="0.25">
      <c r="A88" s="10" t="s">
        <v>194</v>
      </c>
      <c r="B88" s="10" t="s">
        <v>195</v>
      </c>
      <c r="C88" s="10">
        <v>2753</v>
      </c>
    </row>
    <row r="89" spans="1:3" x14ac:dyDescent="0.25">
      <c r="A89" s="10" t="s">
        <v>196</v>
      </c>
      <c r="B89" s="10" t="s">
        <v>197</v>
      </c>
      <c r="C89" s="10">
        <v>418709</v>
      </c>
    </row>
    <row r="90" spans="1:3" x14ac:dyDescent="0.25">
      <c r="A90" s="10" t="s">
        <v>198</v>
      </c>
      <c r="B90" s="10" t="s">
        <v>1026</v>
      </c>
      <c r="C90" s="10">
        <v>2489</v>
      </c>
    </row>
    <row r="91" spans="1:3" x14ac:dyDescent="0.25">
      <c r="A91" s="10" t="s">
        <v>199</v>
      </c>
      <c r="B91" s="10" t="s">
        <v>200</v>
      </c>
      <c r="C91" s="10">
        <v>2405</v>
      </c>
    </row>
    <row r="92" spans="1:3" x14ac:dyDescent="0.25">
      <c r="A92" s="10" t="s">
        <v>201</v>
      </c>
      <c r="B92" s="10" t="s">
        <v>202</v>
      </c>
      <c r="C92" s="10">
        <v>199310</v>
      </c>
    </row>
    <row r="93" spans="1:3" x14ac:dyDescent="0.25">
      <c r="A93" s="10" t="s">
        <v>203</v>
      </c>
      <c r="B93" s="10"/>
      <c r="C93" s="10">
        <v>190092</v>
      </c>
    </row>
    <row r="94" spans="1:3" x14ac:dyDescent="0.25">
      <c r="A94" s="10" t="s">
        <v>204</v>
      </c>
      <c r="B94" s="10" t="s">
        <v>205</v>
      </c>
      <c r="C94" s="10">
        <v>2808</v>
      </c>
    </row>
    <row r="95" spans="1:3" x14ac:dyDescent="0.25">
      <c r="A95" s="10" t="s">
        <v>206</v>
      </c>
      <c r="B95" s="10" t="s">
        <v>207</v>
      </c>
      <c r="C95" s="10">
        <v>3120</v>
      </c>
    </row>
    <row r="96" spans="1:3" x14ac:dyDescent="0.25">
      <c r="A96" s="10" t="s">
        <v>208</v>
      </c>
      <c r="B96" s="10" t="s">
        <v>209</v>
      </c>
      <c r="C96" s="10">
        <v>2623</v>
      </c>
    </row>
    <row r="97" spans="1:3" x14ac:dyDescent="0.25">
      <c r="A97" s="10" t="s">
        <v>210</v>
      </c>
      <c r="B97" s="10"/>
      <c r="C97" s="10">
        <v>779863</v>
      </c>
    </row>
    <row r="98" spans="1:3" x14ac:dyDescent="0.25">
      <c r="A98" s="10" t="s">
        <v>1027</v>
      </c>
      <c r="B98" s="10"/>
      <c r="C98" s="10">
        <v>190128</v>
      </c>
    </row>
    <row r="99" spans="1:3" x14ac:dyDescent="0.25">
      <c r="A99" s="10" t="s">
        <v>211</v>
      </c>
      <c r="B99" s="10" t="s">
        <v>212</v>
      </c>
      <c r="C99" s="10">
        <v>2630</v>
      </c>
    </row>
    <row r="100" spans="1:3" x14ac:dyDescent="0.25">
      <c r="A100" s="10" t="s">
        <v>213</v>
      </c>
      <c r="B100" s="10" t="s">
        <v>214</v>
      </c>
      <c r="C100" s="10">
        <v>3649</v>
      </c>
    </row>
    <row r="101" spans="1:3" x14ac:dyDescent="0.25">
      <c r="A101" s="10" t="s">
        <v>215</v>
      </c>
      <c r="B101" s="10" t="s">
        <v>216</v>
      </c>
      <c r="C101" s="10">
        <v>4644</v>
      </c>
    </row>
    <row r="102" spans="1:3" x14ac:dyDescent="0.25">
      <c r="A102" s="10" t="s">
        <v>217</v>
      </c>
      <c r="B102" s="10" t="s">
        <v>218</v>
      </c>
      <c r="C102" s="10">
        <v>3231</v>
      </c>
    </row>
    <row r="103" spans="1:3" x14ac:dyDescent="0.25">
      <c r="A103" s="10" t="s">
        <v>219</v>
      </c>
      <c r="B103" s="10" t="s">
        <v>220</v>
      </c>
      <c r="C103" s="10">
        <v>3195</v>
      </c>
    </row>
    <row r="104" spans="1:3" x14ac:dyDescent="0.25">
      <c r="A104" s="10" t="s">
        <v>221</v>
      </c>
      <c r="B104" s="10" t="s">
        <v>222</v>
      </c>
      <c r="C104" s="10">
        <v>2911</v>
      </c>
    </row>
    <row r="105" spans="1:3" x14ac:dyDescent="0.25">
      <c r="A105" s="10" t="s">
        <v>223</v>
      </c>
      <c r="B105" s="10" t="s">
        <v>224</v>
      </c>
      <c r="C105" s="10">
        <v>3222</v>
      </c>
    </row>
    <row r="106" spans="1:3" x14ac:dyDescent="0.25">
      <c r="A106" s="10" t="s">
        <v>225</v>
      </c>
      <c r="B106" s="10" t="s">
        <v>226</v>
      </c>
      <c r="C106" s="10">
        <v>534823</v>
      </c>
    </row>
    <row r="107" spans="1:3" x14ac:dyDescent="0.25">
      <c r="A107" s="10" t="s">
        <v>227</v>
      </c>
      <c r="B107" s="10"/>
      <c r="C107" s="10">
        <v>444426</v>
      </c>
    </row>
    <row r="108" spans="1:3" x14ac:dyDescent="0.25">
      <c r="A108" s="10" t="s">
        <v>228</v>
      </c>
      <c r="B108" s="10" t="s">
        <v>226</v>
      </c>
      <c r="C108" s="10">
        <v>3192</v>
      </c>
    </row>
    <row r="109" spans="1:3" x14ac:dyDescent="0.25">
      <c r="A109" s="10" t="s">
        <v>229</v>
      </c>
      <c r="B109" s="10" t="s">
        <v>230</v>
      </c>
      <c r="C109" s="10">
        <v>828816</v>
      </c>
    </row>
    <row r="110" spans="1:3" x14ac:dyDescent="0.25">
      <c r="A110" s="10" t="s">
        <v>231</v>
      </c>
      <c r="B110" s="10" t="s">
        <v>232</v>
      </c>
      <c r="C110" s="10">
        <v>2901</v>
      </c>
    </row>
    <row r="111" spans="1:3" x14ac:dyDescent="0.25">
      <c r="A111" s="10" t="s">
        <v>233</v>
      </c>
      <c r="B111" s="10" t="s">
        <v>234</v>
      </c>
      <c r="C111" s="10">
        <v>3218</v>
      </c>
    </row>
    <row r="112" spans="1:3" x14ac:dyDescent="0.25">
      <c r="A112" s="10" t="s">
        <v>235</v>
      </c>
      <c r="B112" s="10" t="s">
        <v>236</v>
      </c>
      <c r="C112" s="10">
        <v>2906</v>
      </c>
    </row>
    <row r="113" spans="1:3" x14ac:dyDescent="0.25">
      <c r="A113" s="10" t="s">
        <v>237</v>
      </c>
      <c r="B113" s="10" t="s">
        <v>238</v>
      </c>
      <c r="C113" s="10">
        <v>3226</v>
      </c>
    </row>
    <row r="114" spans="1:3" x14ac:dyDescent="0.25">
      <c r="A114" s="10" t="s">
        <v>239</v>
      </c>
      <c r="B114" s="10"/>
      <c r="C114" s="10">
        <v>190184</v>
      </c>
    </row>
    <row r="115" spans="1:3" x14ac:dyDescent="0.25">
      <c r="A115" s="10" t="s">
        <v>240</v>
      </c>
      <c r="B115" s="10" t="s">
        <v>241</v>
      </c>
      <c r="C115" s="10">
        <v>3206</v>
      </c>
    </row>
    <row r="116" spans="1:3" x14ac:dyDescent="0.25">
      <c r="A116" s="10" t="s">
        <v>242</v>
      </c>
      <c r="B116" s="10" t="s">
        <v>243</v>
      </c>
      <c r="C116" s="10">
        <v>3214</v>
      </c>
    </row>
    <row r="117" spans="1:3" x14ac:dyDescent="0.25">
      <c r="A117" s="10" t="s">
        <v>244</v>
      </c>
      <c r="B117" s="10" t="s">
        <v>245</v>
      </c>
      <c r="C117" s="10">
        <v>814245</v>
      </c>
    </row>
    <row r="118" spans="1:3" x14ac:dyDescent="0.25">
      <c r="A118" s="10" t="s">
        <v>246</v>
      </c>
      <c r="B118" s="10" t="s">
        <v>247</v>
      </c>
      <c r="C118" s="10">
        <v>3199</v>
      </c>
    </row>
    <row r="119" spans="1:3" x14ac:dyDescent="0.25">
      <c r="A119" s="10" t="s">
        <v>1028</v>
      </c>
      <c r="B119" s="10" t="s">
        <v>1029</v>
      </c>
      <c r="C119" s="10">
        <v>199353</v>
      </c>
    </row>
    <row r="120" spans="1:3" x14ac:dyDescent="0.25">
      <c r="A120" s="10" t="s">
        <v>248</v>
      </c>
      <c r="B120" s="10" t="s">
        <v>249</v>
      </c>
      <c r="C120" s="10">
        <v>2929</v>
      </c>
    </row>
    <row r="121" spans="1:3" x14ac:dyDescent="0.25">
      <c r="A121" s="10" t="s">
        <v>250</v>
      </c>
      <c r="B121" s="10" t="s">
        <v>251</v>
      </c>
      <c r="C121" s="10">
        <v>3210</v>
      </c>
    </row>
    <row r="122" spans="1:3" x14ac:dyDescent="0.25">
      <c r="A122" s="10" t="s">
        <v>252</v>
      </c>
      <c r="B122" s="10" t="s">
        <v>253</v>
      </c>
      <c r="C122" s="10">
        <v>886117</v>
      </c>
    </row>
    <row r="123" spans="1:3" x14ac:dyDescent="0.25">
      <c r="A123" s="10" t="s">
        <v>254</v>
      </c>
      <c r="B123" s="10" t="s">
        <v>255</v>
      </c>
      <c r="C123" s="10">
        <v>1009</v>
      </c>
    </row>
    <row r="124" spans="1:3" x14ac:dyDescent="0.25">
      <c r="A124" s="10" t="s">
        <v>1030</v>
      </c>
      <c r="B124" s="10" t="s">
        <v>137</v>
      </c>
      <c r="C124" s="10">
        <v>522787</v>
      </c>
    </row>
    <row r="125" spans="1:3" x14ac:dyDescent="0.25">
      <c r="A125" s="10" t="s">
        <v>256</v>
      </c>
      <c r="B125" s="10" t="s">
        <v>257</v>
      </c>
      <c r="C125" s="10">
        <v>3540</v>
      </c>
    </row>
    <row r="126" spans="1:3" x14ac:dyDescent="0.25">
      <c r="A126" s="10" t="s">
        <v>259</v>
      </c>
      <c r="B126" s="10" t="s">
        <v>260</v>
      </c>
      <c r="C126" s="10">
        <v>4583</v>
      </c>
    </row>
    <row r="127" spans="1:3" x14ac:dyDescent="0.25">
      <c r="A127" s="10" t="s">
        <v>264</v>
      </c>
      <c r="B127" s="10" t="s">
        <v>265</v>
      </c>
      <c r="C127" s="10">
        <v>4616</v>
      </c>
    </row>
    <row r="128" spans="1:3" x14ac:dyDescent="0.25">
      <c r="A128" s="10" t="s">
        <v>1031</v>
      </c>
      <c r="B128" s="10" t="s">
        <v>482</v>
      </c>
      <c r="C128" s="10">
        <v>3701</v>
      </c>
    </row>
    <row r="129" spans="1:3" x14ac:dyDescent="0.25">
      <c r="A129" s="10" t="s">
        <v>267</v>
      </c>
      <c r="B129" s="10" t="s">
        <v>268</v>
      </c>
      <c r="C129" s="10">
        <v>3392</v>
      </c>
    </row>
    <row r="130" spans="1:3" x14ac:dyDescent="0.25">
      <c r="A130" s="10" t="s">
        <v>269</v>
      </c>
      <c r="B130" s="10" t="s">
        <v>270</v>
      </c>
      <c r="C130" s="10">
        <v>3791</v>
      </c>
    </row>
    <row r="131" spans="1:3" x14ac:dyDescent="0.25">
      <c r="A131" s="10" t="s">
        <v>271</v>
      </c>
      <c r="B131" s="10" t="s">
        <v>272</v>
      </c>
      <c r="C131" s="10">
        <v>3784</v>
      </c>
    </row>
    <row r="132" spans="1:3" x14ac:dyDescent="0.25">
      <c r="A132" s="10" t="s">
        <v>273</v>
      </c>
      <c r="B132" s="10" t="s">
        <v>274</v>
      </c>
      <c r="C132" s="10">
        <v>4151</v>
      </c>
    </row>
    <row r="133" spans="1:3" x14ac:dyDescent="0.25">
      <c r="A133" s="10" t="s">
        <v>275</v>
      </c>
      <c r="B133" s="10"/>
      <c r="C133" s="10">
        <v>186000</v>
      </c>
    </row>
    <row r="134" spans="1:3" x14ac:dyDescent="0.25">
      <c r="A134" s="10" t="s">
        <v>276</v>
      </c>
      <c r="B134" s="10"/>
      <c r="C134" s="10">
        <v>185992</v>
      </c>
    </row>
    <row r="135" spans="1:3" x14ac:dyDescent="0.25">
      <c r="A135" s="10" t="s">
        <v>277</v>
      </c>
      <c r="B135" s="10" t="s">
        <v>278</v>
      </c>
      <c r="C135" s="10">
        <v>3142</v>
      </c>
    </row>
    <row r="136" spans="1:3" x14ac:dyDescent="0.25">
      <c r="A136" s="10" t="s">
        <v>279</v>
      </c>
      <c r="B136" s="10" t="s">
        <v>280</v>
      </c>
      <c r="C136" s="10">
        <v>3136</v>
      </c>
    </row>
    <row r="137" spans="1:3" x14ac:dyDescent="0.25">
      <c r="A137" s="10" t="s">
        <v>281</v>
      </c>
      <c r="B137" s="10" t="s">
        <v>282</v>
      </c>
      <c r="C137" s="10">
        <v>3140</v>
      </c>
    </row>
    <row r="138" spans="1:3" x14ac:dyDescent="0.25">
      <c r="A138" s="10" t="s">
        <v>283</v>
      </c>
      <c r="B138" s="10" t="s">
        <v>284</v>
      </c>
      <c r="C138" s="10">
        <v>3148</v>
      </c>
    </row>
    <row r="139" spans="1:3" x14ac:dyDescent="0.25">
      <c r="A139" s="10" t="s">
        <v>285</v>
      </c>
      <c r="B139" s="10"/>
      <c r="C139" s="10">
        <v>190643</v>
      </c>
    </row>
    <row r="140" spans="1:3" x14ac:dyDescent="0.25">
      <c r="A140" s="10" t="s">
        <v>286</v>
      </c>
      <c r="B140" s="10" t="s">
        <v>287</v>
      </c>
      <c r="C140" s="10">
        <v>3146</v>
      </c>
    </row>
    <row r="141" spans="1:3" x14ac:dyDescent="0.25">
      <c r="A141" s="10" t="s">
        <v>290</v>
      </c>
      <c r="B141" s="10" t="s">
        <v>291</v>
      </c>
      <c r="C141" s="10">
        <v>459627</v>
      </c>
    </row>
    <row r="142" spans="1:3" x14ac:dyDescent="0.25">
      <c r="A142" s="10" t="s">
        <v>292</v>
      </c>
      <c r="B142" s="10" t="s">
        <v>293</v>
      </c>
      <c r="C142" s="10">
        <v>3374</v>
      </c>
    </row>
    <row r="143" spans="1:3" x14ac:dyDescent="0.25">
      <c r="A143" s="10" t="s">
        <v>294</v>
      </c>
      <c r="B143" s="10" t="s">
        <v>295</v>
      </c>
      <c r="C143" s="10">
        <v>3371</v>
      </c>
    </row>
    <row r="144" spans="1:3" x14ac:dyDescent="0.25">
      <c r="A144" s="10" t="s">
        <v>296</v>
      </c>
      <c r="B144" s="10"/>
      <c r="C144" s="10">
        <v>190717</v>
      </c>
    </row>
    <row r="145" spans="1:3" x14ac:dyDescent="0.25">
      <c r="A145" s="10" t="s">
        <v>1032</v>
      </c>
      <c r="B145" s="10" t="s">
        <v>261</v>
      </c>
      <c r="C145" s="10">
        <v>4582</v>
      </c>
    </row>
    <row r="146" spans="1:3" x14ac:dyDescent="0.25">
      <c r="A146" s="10" t="s">
        <v>297</v>
      </c>
      <c r="B146" s="10" t="s">
        <v>298</v>
      </c>
      <c r="C146" s="10">
        <v>534662</v>
      </c>
    </row>
    <row r="147" spans="1:3" x14ac:dyDescent="0.25">
      <c r="A147" s="10" t="s">
        <v>1033</v>
      </c>
      <c r="B147" s="10" t="s">
        <v>536</v>
      </c>
      <c r="C147" s="10">
        <v>534682</v>
      </c>
    </row>
    <row r="148" spans="1:3" x14ac:dyDescent="0.25">
      <c r="A148" s="10" t="s">
        <v>299</v>
      </c>
      <c r="B148" s="10" t="s">
        <v>300</v>
      </c>
      <c r="C148" s="10">
        <v>530157</v>
      </c>
    </row>
    <row r="149" spans="1:3" x14ac:dyDescent="0.25">
      <c r="A149" s="10" t="s">
        <v>301</v>
      </c>
      <c r="B149" s="10" t="s">
        <v>302</v>
      </c>
      <c r="C149" s="10">
        <v>2517</v>
      </c>
    </row>
    <row r="150" spans="1:3" x14ac:dyDescent="0.25">
      <c r="A150" s="10" t="s">
        <v>1034</v>
      </c>
      <c r="B150" s="10" t="s">
        <v>154</v>
      </c>
      <c r="C150" s="10">
        <v>2514</v>
      </c>
    </row>
    <row r="151" spans="1:3" x14ac:dyDescent="0.25">
      <c r="A151" s="10" t="s">
        <v>303</v>
      </c>
      <c r="B151" s="10" t="s">
        <v>304</v>
      </c>
      <c r="C151" s="10">
        <v>2873</v>
      </c>
    </row>
    <row r="152" spans="1:3" x14ac:dyDescent="0.25">
      <c r="A152" s="10" t="s">
        <v>305</v>
      </c>
      <c r="B152" s="10" t="s">
        <v>306</v>
      </c>
      <c r="C152" s="10">
        <v>2878</v>
      </c>
    </row>
    <row r="153" spans="1:3" x14ac:dyDescent="0.25">
      <c r="A153" s="10" t="s">
        <v>1035</v>
      </c>
      <c r="B153" s="10" t="s">
        <v>307</v>
      </c>
      <c r="C153" s="10">
        <v>2881</v>
      </c>
    </row>
    <row r="154" spans="1:3" x14ac:dyDescent="0.25">
      <c r="A154" s="10" t="s">
        <v>308</v>
      </c>
      <c r="B154" s="10"/>
      <c r="C154" s="10">
        <v>190851</v>
      </c>
    </row>
    <row r="155" spans="1:3" x14ac:dyDescent="0.25">
      <c r="A155" s="10" t="s">
        <v>309</v>
      </c>
      <c r="B155" s="10" t="s">
        <v>310</v>
      </c>
      <c r="C155" s="10">
        <v>2884</v>
      </c>
    </row>
    <row r="156" spans="1:3" x14ac:dyDescent="0.25">
      <c r="A156" s="10" t="s">
        <v>311</v>
      </c>
      <c r="B156" s="10" t="s">
        <v>312</v>
      </c>
      <c r="C156" s="10">
        <v>2887</v>
      </c>
    </row>
    <row r="157" spans="1:3" x14ac:dyDescent="0.25">
      <c r="A157" s="10" t="s">
        <v>313</v>
      </c>
      <c r="B157" s="10" t="s">
        <v>314</v>
      </c>
      <c r="C157" s="10">
        <v>4155</v>
      </c>
    </row>
    <row r="158" spans="1:3" x14ac:dyDescent="0.25">
      <c r="A158" s="10" t="s">
        <v>315</v>
      </c>
      <c r="B158" s="10" t="s">
        <v>316</v>
      </c>
      <c r="C158" s="10">
        <v>3461</v>
      </c>
    </row>
    <row r="159" spans="1:3" x14ac:dyDescent="0.25">
      <c r="A159" s="10" t="s">
        <v>317</v>
      </c>
      <c r="B159" s="10"/>
      <c r="C159" s="10">
        <v>836344</v>
      </c>
    </row>
    <row r="160" spans="1:3" x14ac:dyDescent="0.25">
      <c r="A160" s="10" t="s">
        <v>1036</v>
      </c>
      <c r="B160" s="10" t="s">
        <v>144</v>
      </c>
      <c r="C160" s="10">
        <v>836346</v>
      </c>
    </row>
    <row r="161" spans="1:3" x14ac:dyDescent="0.25">
      <c r="A161" s="10" t="s">
        <v>1037</v>
      </c>
      <c r="B161" s="10" t="s">
        <v>147</v>
      </c>
      <c r="C161" s="10">
        <v>836345</v>
      </c>
    </row>
    <row r="162" spans="1:3" x14ac:dyDescent="0.25">
      <c r="A162" s="10" t="s">
        <v>318</v>
      </c>
      <c r="B162" s="10" t="s">
        <v>319</v>
      </c>
      <c r="C162" s="10">
        <v>2790</v>
      </c>
    </row>
    <row r="163" spans="1:3" x14ac:dyDescent="0.25">
      <c r="A163" s="10" t="s">
        <v>320</v>
      </c>
      <c r="B163" s="10" t="s">
        <v>321</v>
      </c>
      <c r="C163" s="10">
        <v>4625</v>
      </c>
    </row>
    <row r="164" spans="1:3" x14ac:dyDescent="0.25">
      <c r="A164" s="10" t="s">
        <v>322</v>
      </c>
      <c r="B164" s="10" t="s">
        <v>323</v>
      </c>
      <c r="C164" s="10">
        <v>3017</v>
      </c>
    </row>
    <row r="165" spans="1:3" x14ac:dyDescent="0.25">
      <c r="A165" s="10" t="s">
        <v>324</v>
      </c>
      <c r="B165" s="10" t="s">
        <v>325</v>
      </c>
      <c r="C165" s="10">
        <v>3420</v>
      </c>
    </row>
    <row r="166" spans="1:3" x14ac:dyDescent="0.25">
      <c r="A166" s="10" t="s">
        <v>326</v>
      </c>
      <c r="B166" s="10" t="s">
        <v>327</v>
      </c>
      <c r="C166" s="10">
        <v>3422</v>
      </c>
    </row>
    <row r="167" spans="1:3" x14ac:dyDescent="0.25">
      <c r="A167" s="10" t="s">
        <v>328</v>
      </c>
      <c r="B167" s="10" t="s">
        <v>329</v>
      </c>
      <c r="C167" s="10">
        <v>3424</v>
      </c>
    </row>
    <row r="168" spans="1:3" x14ac:dyDescent="0.25">
      <c r="A168" s="10" t="s">
        <v>330</v>
      </c>
      <c r="B168" s="10" t="s">
        <v>331</v>
      </c>
      <c r="C168" s="10">
        <v>3586</v>
      </c>
    </row>
    <row r="169" spans="1:3" x14ac:dyDescent="0.25">
      <c r="A169" s="10" t="s">
        <v>332</v>
      </c>
      <c r="B169" s="10" t="s">
        <v>333</v>
      </c>
      <c r="C169" s="10">
        <v>186081</v>
      </c>
    </row>
    <row r="170" spans="1:3" x14ac:dyDescent="0.25">
      <c r="A170" s="10" t="s">
        <v>334</v>
      </c>
      <c r="B170" s="10" t="s">
        <v>335</v>
      </c>
      <c r="C170" s="10">
        <v>4510</v>
      </c>
    </row>
    <row r="171" spans="1:3" x14ac:dyDescent="0.25">
      <c r="A171" s="10" t="s">
        <v>336</v>
      </c>
      <c r="B171" s="10" t="s">
        <v>337</v>
      </c>
      <c r="C171" s="10">
        <v>4505</v>
      </c>
    </row>
    <row r="172" spans="1:3" x14ac:dyDescent="0.25">
      <c r="A172" s="10" t="s">
        <v>338</v>
      </c>
      <c r="B172" s="10" t="s">
        <v>339</v>
      </c>
      <c r="C172" s="10">
        <v>4503</v>
      </c>
    </row>
    <row r="173" spans="1:3" x14ac:dyDescent="0.25">
      <c r="A173" s="10" t="s">
        <v>340</v>
      </c>
      <c r="B173" s="10" t="s">
        <v>341</v>
      </c>
      <c r="C173" s="10">
        <v>4501</v>
      </c>
    </row>
    <row r="174" spans="1:3" x14ac:dyDescent="0.25">
      <c r="A174" s="10" t="s">
        <v>342</v>
      </c>
      <c r="B174" s="10"/>
      <c r="C174" s="10">
        <v>191178</v>
      </c>
    </row>
    <row r="175" spans="1:3" x14ac:dyDescent="0.25">
      <c r="A175" s="10" t="s">
        <v>343</v>
      </c>
      <c r="B175" s="10" t="s">
        <v>344</v>
      </c>
      <c r="C175" s="10">
        <v>4494</v>
      </c>
    </row>
    <row r="176" spans="1:3" x14ac:dyDescent="0.25">
      <c r="A176" s="10" t="s">
        <v>345</v>
      </c>
      <c r="B176" s="10" t="s">
        <v>346</v>
      </c>
      <c r="C176" s="10">
        <v>2996</v>
      </c>
    </row>
    <row r="177" spans="1:3" x14ac:dyDescent="0.25">
      <c r="A177" s="10" t="s">
        <v>1038</v>
      </c>
      <c r="B177" s="10" t="s">
        <v>1039</v>
      </c>
      <c r="C177" s="10">
        <v>731224</v>
      </c>
    </row>
    <row r="178" spans="1:3" x14ac:dyDescent="0.25">
      <c r="A178" s="10" t="s">
        <v>347</v>
      </c>
      <c r="B178" s="10" t="s">
        <v>348</v>
      </c>
      <c r="C178" s="10">
        <v>3053</v>
      </c>
    </row>
    <row r="179" spans="1:3" x14ac:dyDescent="0.25">
      <c r="A179" s="10" t="s">
        <v>349</v>
      </c>
      <c r="B179" s="10" t="s">
        <v>350</v>
      </c>
      <c r="C179" s="10">
        <v>3465</v>
      </c>
    </row>
    <row r="180" spans="1:3" x14ac:dyDescent="0.25">
      <c r="A180" s="10" t="s">
        <v>1040</v>
      </c>
      <c r="B180" s="10" t="s">
        <v>652</v>
      </c>
      <c r="C180" s="10">
        <v>534742</v>
      </c>
    </row>
    <row r="181" spans="1:3" x14ac:dyDescent="0.25">
      <c r="A181" s="10" t="s">
        <v>351</v>
      </c>
      <c r="B181" s="10" t="s">
        <v>352</v>
      </c>
      <c r="C181" s="10">
        <v>2702</v>
      </c>
    </row>
    <row r="182" spans="1:3" x14ac:dyDescent="0.25">
      <c r="A182" s="10" t="s">
        <v>353</v>
      </c>
      <c r="B182" s="10" t="s">
        <v>354</v>
      </c>
      <c r="C182" s="10">
        <v>2714</v>
      </c>
    </row>
    <row r="183" spans="1:3" x14ac:dyDescent="0.25">
      <c r="A183" s="10" t="s">
        <v>355</v>
      </c>
      <c r="B183" s="10" t="s">
        <v>354</v>
      </c>
      <c r="C183" s="10">
        <v>2709</v>
      </c>
    </row>
    <row r="184" spans="1:3" x14ac:dyDescent="0.25">
      <c r="A184" s="10" t="s">
        <v>356</v>
      </c>
      <c r="B184" s="10" t="s">
        <v>357</v>
      </c>
      <c r="C184" s="10">
        <v>2715</v>
      </c>
    </row>
    <row r="185" spans="1:3" x14ac:dyDescent="0.25">
      <c r="A185" s="10" t="s">
        <v>358</v>
      </c>
      <c r="B185" s="10" t="s">
        <v>359</v>
      </c>
      <c r="C185" s="10">
        <v>2706</v>
      </c>
    </row>
    <row r="186" spans="1:3" x14ac:dyDescent="0.25">
      <c r="A186" s="10" t="s">
        <v>360</v>
      </c>
      <c r="B186" s="10" t="s">
        <v>361</v>
      </c>
      <c r="C186" s="10">
        <v>459478</v>
      </c>
    </row>
    <row r="187" spans="1:3" x14ac:dyDescent="0.25">
      <c r="A187" s="10" t="s">
        <v>362</v>
      </c>
      <c r="B187" s="10" t="s">
        <v>363</v>
      </c>
      <c r="C187" s="10">
        <v>3611</v>
      </c>
    </row>
    <row r="188" spans="1:3" x14ac:dyDescent="0.25">
      <c r="A188" s="10" t="s">
        <v>364</v>
      </c>
      <c r="B188" s="10" t="s">
        <v>365</v>
      </c>
      <c r="C188" s="10">
        <v>3630</v>
      </c>
    </row>
    <row r="189" spans="1:3" x14ac:dyDescent="0.25">
      <c r="A189" s="10" t="s">
        <v>366</v>
      </c>
      <c r="B189" s="10" t="s">
        <v>367</v>
      </c>
      <c r="C189" s="10">
        <v>441862</v>
      </c>
    </row>
    <row r="190" spans="1:3" x14ac:dyDescent="0.25">
      <c r="A190" s="10" t="s">
        <v>368</v>
      </c>
      <c r="B190" s="10" t="s">
        <v>369</v>
      </c>
      <c r="C190" s="10">
        <v>2398</v>
      </c>
    </row>
    <row r="191" spans="1:3" x14ac:dyDescent="0.25">
      <c r="A191" s="10" t="s">
        <v>370</v>
      </c>
      <c r="B191" s="10" t="s">
        <v>371</v>
      </c>
      <c r="C191" s="10">
        <v>2399</v>
      </c>
    </row>
    <row r="192" spans="1:3" x14ac:dyDescent="0.25">
      <c r="A192" s="10" t="s">
        <v>372</v>
      </c>
      <c r="B192" s="10" t="s">
        <v>373</v>
      </c>
      <c r="C192" s="10">
        <v>186036</v>
      </c>
    </row>
    <row r="193" spans="1:3" x14ac:dyDescent="0.25">
      <c r="A193" s="10" t="s">
        <v>374</v>
      </c>
      <c r="B193" s="10" t="s">
        <v>375</v>
      </c>
      <c r="C193" s="10">
        <v>3608</v>
      </c>
    </row>
    <row r="194" spans="1:3" x14ac:dyDescent="0.25">
      <c r="A194" s="10" t="s">
        <v>376</v>
      </c>
      <c r="B194" s="10" t="s">
        <v>377</v>
      </c>
      <c r="C194" s="10">
        <v>2497</v>
      </c>
    </row>
    <row r="195" spans="1:3" x14ac:dyDescent="0.25">
      <c r="A195" s="10" t="s">
        <v>378</v>
      </c>
      <c r="B195" s="10" t="s">
        <v>1041</v>
      </c>
      <c r="C195" s="10">
        <v>2494</v>
      </c>
    </row>
    <row r="196" spans="1:3" x14ac:dyDescent="0.25">
      <c r="A196" s="10" t="s">
        <v>379</v>
      </c>
      <c r="B196" s="10" t="s">
        <v>380</v>
      </c>
      <c r="C196" s="10">
        <v>2836</v>
      </c>
    </row>
    <row r="197" spans="1:3" x14ac:dyDescent="0.25">
      <c r="A197" s="10" t="s">
        <v>1042</v>
      </c>
      <c r="B197" s="10" t="s">
        <v>583</v>
      </c>
      <c r="C197" s="10">
        <v>4686</v>
      </c>
    </row>
    <row r="198" spans="1:3" x14ac:dyDescent="0.25">
      <c r="A198" s="10" t="s">
        <v>381</v>
      </c>
      <c r="B198" s="10" t="s">
        <v>382</v>
      </c>
      <c r="C198" s="10">
        <v>4663</v>
      </c>
    </row>
    <row r="199" spans="1:3" x14ac:dyDescent="0.25">
      <c r="A199" s="10" t="s">
        <v>383</v>
      </c>
      <c r="B199" s="10" t="s">
        <v>384</v>
      </c>
      <c r="C199" s="10">
        <v>4659</v>
      </c>
    </row>
    <row r="200" spans="1:3" x14ac:dyDescent="0.25">
      <c r="A200" s="10" t="s">
        <v>385</v>
      </c>
      <c r="B200" s="10" t="s">
        <v>386</v>
      </c>
      <c r="C200" s="10">
        <v>4657</v>
      </c>
    </row>
    <row r="201" spans="1:3" x14ac:dyDescent="0.25">
      <c r="A201" s="10" t="s">
        <v>387</v>
      </c>
      <c r="B201" s="10" t="s">
        <v>388</v>
      </c>
      <c r="C201" s="10">
        <v>4665</v>
      </c>
    </row>
    <row r="202" spans="1:3" x14ac:dyDescent="0.25">
      <c r="A202" s="10" t="s">
        <v>389</v>
      </c>
      <c r="B202" s="10" t="s">
        <v>390</v>
      </c>
      <c r="C202" s="10">
        <v>4680</v>
      </c>
    </row>
    <row r="203" spans="1:3" x14ac:dyDescent="0.25">
      <c r="A203" s="10" t="s">
        <v>391</v>
      </c>
      <c r="B203" s="10" t="s">
        <v>392</v>
      </c>
      <c r="C203" s="10">
        <v>4667</v>
      </c>
    </row>
    <row r="204" spans="1:3" x14ac:dyDescent="0.25">
      <c r="A204" s="10" t="s">
        <v>393</v>
      </c>
      <c r="B204" s="10" t="s">
        <v>394</v>
      </c>
      <c r="C204" s="10">
        <v>4669</v>
      </c>
    </row>
    <row r="205" spans="1:3" x14ac:dyDescent="0.25">
      <c r="A205" s="10" t="s">
        <v>395</v>
      </c>
      <c r="B205" s="10" t="s">
        <v>396</v>
      </c>
      <c r="C205" s="10">
        <v>3681</v>
      </c>
    </row>
    <row r="206" spans="1:3" x14ac:dyDescent="0.25">
      <c r="A206" s="10" t="s">
        <v>397</v>
      </c>
      <c r="B206" s="10" t="s">
        <v>398</v>
      </c>
      <c r="C206" s="10">
        <v>4001</v>
      </c>
    </row>
    <row r="207" spans="1:3" x14ac:dyDescent="0.25">
      <c r="A207" s="10" t="s">
        <v>1043</v>
      </c>
      <c r="B207" s="10" t="s">
        <v>288</v>
      </c>
      <c r="C207" s="10">
        <v>3153</v>
      </c>
    </row>
    <row r="208" spans="1:3" x14ac:dyDescent="0.25">
      <c r="A208" s="10" t="s">
        <v>399</v>
      </c>
      <c r="B208" s="10" t="s">
        <v>400</v>
      </c>
      <c r="C208" s="10">
        <v>2683</v>
      </c>
    </row>
    <row r="209" spans="1:3" x14ac:dyDescent="0.25">
      <c r="A209" s="10" t="s">
        <v>401</v>
      </c>
      <c r="B209" s="10" t="s">
        <v>402</v>
      </c>
      <c r="C209" s="10">
        <v>2676</v>
      </c>
    </row>
    <row r="210" spans="1:3" x14ac:dyDescent="0.25">
      <c r="A210" s="10" t="s">
        <v>403</v>
      </c>
      <c r="B210" s="10" t="s">
        <v>404</v>
      </c>
      <c r="C210" s="10">
        <v>2681</v>
      </c>
    </row>
    <row r="211" spans="1:3" x14ac:dyDescent="0.25">
      <c r="A211" s="10" t="s">
        <v>405</v>
      </c>
      <c r="B211" s="10"/>
      <c r="C211" s="10">
        <v>192519</v>
      </c>
    </row>
    <row r="212" spans="1:3" x14ac:dyDescent="0.25">
      <c r="A212" s="10" t="s">
        <v>406</v>
      </c>
      <c r="B212" s="10" t="s">
        <v>407</v>
      </c>
      <c r="C212" s="10">
        <v>186050</v>
      </c>
    </row>
    <row r="213" spans="1:3" x14ac:dyDescent="0.25">
      <c r="A213" s="10" t="s">
        <v>408</v>
      </c>
      <c r="B213" s="10" t="s">
        <v>409</v>
      </c>
      <c r="C213" s="10">
        <v>432710</v>
      </c>
    </row>
    <row r="214" spans="1:3" x14ac:dyDescent="0.25">
      <c r="A214" s="10" t="s">
        <v>410</v>
      </c>
      <c r="B214" s="10" t="s">
        <v>409</v>
      </c>
      <c r="C214" s="10">
        <v>418716</v>
      </c>
    </row>
    <row r="215" spans="1:3" x14ac:dyDescent="0.25">
      <c r="A215" s="10" t="s">
        <v>411</v>
      </c>
      <c r="B215" s="10" t="s">
        <v>409</v>
      </c>
      <c r="C215" s="10">
        <v>2938</v>
      </c>
    </row>
    <row r="216" spans="1:3" x14ac:dyDescent="0.25">
      <c r="A216" s="10" t="s">
        <v>412</v>
      </c>
      <c r="B216" s="10" t="s">
        <v>413</v>
      </c>
      <c r="C216" s="10">
        <v>2679</v>
      </c>
    </row>
    <row r="217" spans="1:3" x14ac:dyDescent="0.25">
      <c r="A217" s="10" t="s">
        <v>414</v>
      </c>
      <c r="B217" s="10" t="s">
        <v>415</v>
      </c>
      <c r="C217" s="10">
        <v>2669</v>
      </c>
    </row>
    <row r="218" spans="1:3" x14ac:dyDescent="0.25">
      <c r="A218" s="10" t="s">
        <v>416</v>
      </c>
      <c r="B218" s="10" t="s">
        <v>417</v>
      </c>
      <c r="C218" s="10">
        <v>2674</v>
      </c>
    </row>
    <row r="219" spans="1:3" x14ac:dyDescent="0.25">
      <c r="A219" s="10" t="s">
        <v>418</v>
      </c>
      <c r="B219" s="10" t="s">
        <v>419</v>
      </c>
      <c r="C219" s="10">
        <v>4330</v>
      </c>
    </row>
    <row r="220" spans="1:3" x14ac:dyDescent="0.25">
      <c r="A220" s="10" t="s">
        <v>420</v>
      </c>
      <c r="B220" s="10" t="s">
        <v>421</v>
      </c>
      <c r="C220" s="10">
        <v>4324</v>
      </c>
    </row>
    <row r="221" spans="1:3" x14ac:dyDescent="0.25">
      <c r="A221" s="10" t="s">
        <v>422</v>
      </c>
      <c r="B221" s="10" t="s">
        <v>423</v>
      </c>
      <c r="C221" s="10">
        <v>3402</v>
      </c>
    </row>
    <row r="222" spans="1:3" x14ac:dyDescent="0.25">
      <c r="A222" s="10" t="s">
        <v>424</v>
      </c>
      <c r="B222" s="10"/>
      <c r="C222" s="10">
        <v>192624</v>
      </c>
    </row>
    <row r="223" spans="1:3" x14ac:dyDescent="0.25">
      <c r="A223" s="10" t="s">
        <v>425</v>
      </c>
      <c r="B223" s="10" t="s">
        <v>426</v>
      </c>
      <c r="C223" s="10">
        <v>4564</v>
      </c>
    </row>
    <row r="224" spans="1:3" x14ac:dyDescent="0.25">
      <c r="A224" s="10" t="s">
        <v>427</v>
      </c>
      <c r="B224" s="10" t="s">
        <v>428</v>
      </c>
      <c r="C224" s="10">
        <v>4568</v>
      </c>
    </row>
    <row r="225" spans="1:3" x14ac:dyDescent="0.25">
      <c r="A225" s="10" t="s">
        <v>429</v>
      </c>
      <c r="B225" s="10" t="s">
        <v>430</v>
      </c>
      <c r="C225" s="10">
        <v>3070</v>
      </c>
    </row>
    <row r="226" spans="1:3" x14ac:dyDescent="0.25">
      <c r="A226" s="10" t="s">
        <v>431</v>
      </c>
      <c r="B226" s="10" t="s">
        <v>432</v>
      </c>
      <c r="C226" s="10">
        <v>998</v>
      </c>
    </row>
    <row r="227" spans="1:3" x14ac:dyDescent="0.25">
      <c r="A227" s="10" t="s">
        <v>433</v>
      </c>
      <c r="B227" s="10" t="s">
        <v>434</v>
      </c>
      <c r="C227" s="10">
        <v>3656</v>
      </c>
    </row>
    <row r="228" spans="1:3" x14ac:dyDescent="0.25">
      <c r="A228" s="10" t="s">
        <v>435</v>
      </c>
      <c r="B228" s="10" t="s">
        <v>436</v>
      </c>
      <c r="C228" s="10">
        <v>2543</v>
      </c>
    </row>
    <row r="229" spans="1:3" x14ac:dyDescent="0.25">
      <c r="A229" s="10" t="s">
        <v>437</v>
      </c>
      <c r="B229" s="10" t="s">
        <v>438</v>
      </c>
      <c r="C229" s="10">
        <v>2549</v>
      </c>
    </row>
    <row r="230" spans="1:3" x14ac:dyDescent="0.25">
      <c r="A230" s="10" t="s">
        <v>439</v>
      </c>
      <c r="B230" s="10" t="s">
        <v>440</v>
      </c>
      <c r="C230" s="10">
        <v>3059</v>
      </c>
    </row>
    <row r="231" spans="1:3" x14ac:dyDescent="0.25">
      <c r="A231" s="10" t="s">
        <v>441</v>
      </c>
      <c r="B231" s="10" t="s">
        <v>442</v>
      </c>
      <c r="C231" s="10">
        <v>418719</v>
      </c>
    </row>
    <row r="232" spans="1:3" x14ac:dyDescent="0.25">
      <c r="A232" s="10" t="s">
        <v>1044</v>
      </c>
      <c r="B232" s="10" t="s">
        <v>1045</v>
      </c>
      <c r="C232" s="10">
        <v>627293</v>
      </c>
    </row>
    <row r="233" spans="1:3" x14ac:dyDescent="0.25">
      <c r="A233" s="10" t="s">
        <v>443</v>
      </c>
      <c r="B233" s="10" t="s">
        <v>444</v>
      </c>
      <c r="C233" s="10">
        <v>4466</v>
      </c>
    </row>
    <row r="234" spans="1:3" x14ac:dyDescent="0.25">
      <c r="A234" s="10" t="s">
        <v>445</v>
      </c>
      <c r="B234" s="10" t="s">
        <v>446</v>
      </c>
      <c r="C234" s="10">
        <v>953</v>
      </c>
    </row>
    <row r="235" spans="1:3" x14ac:dyDescent="0.25">
      <c r="A235" s="10" t="s">
        <v>447</v>
      </c>
      <c r="B235" s="10" t="s">
        <v>448</v>
      </c>
      <c r="C235" s="10">
        <v>956</v>
      </c>
    </row>
    <row r="236" spans="1:3" x14ac:dyDescent="0.25">
      <c r="A236" s="10" t="s">
        <v>449</v>
      </c>
      <c r="B236" s="10" t="s">
        <v>450</v>
      </c>
      <c r="C236" s="10">
        <v>959</v>
      </c>
    </row>
    <row r="237" spans="1:3" x14ac:dyDescent="0.25">
      <c r="A237" s="10" t="s">
        <v>1046</v>
      </c>
      <c r="B237" s="10"/>
      <c r="C237" s="10">
        <v>192728</v>
      </c>
    </row>
    <row r="238" spans="1:3" x14ac:dyDescent="0.25">
      <c r="A238" s="10" t="s">
        <v>451</v>
      </c>
      <c r="B238" s="10" t="s">
        <v>452</v>
      </c>
      <c r="C238" s="10">
        <v>2411</v>
      </c>
    </row>
    <row r="239" spans="1:3" x14ac:dyDescent="0.25">
      <c r="A239" s="10" t="s">
        <v>453</v>
      </c>
      <c r="B239" s="10" t="s">
        <v>454</v>
      </c>
      <c r="C239" s="10">
        <v>186038</v>
      </c>
    </row>
    <row r="240" spans="1:3" x14ac:dyDescent="0.25">
      <c r="A240" s="10" t="s">
        <v>455</v>
      </c>
      <c r="B240" s="10" t="s">
        <v>456</v>
      </c>
      <c r="C240" s="10">
        <v>3332</v>
      </c>
    </row>
    <row r="241" spans="1:3" x14ac:dyDescent="0.25">
      <c r="A241" s="10" t="s">
        <v>457</v>
      </c>
      <c r="B241" s="10" t="s">
        <v>458</v>
      </c>
      <c r="C241" s="10">
        <v>626275</v>
      </c>
    </row>
    <row r="242" spans="1:3" x14ac:dyDescent="0.25">
      <c r="A242" s="10" t="s">
        <v>459</v>
      </c>
      <c r="B242" s="10" t="s">
        <v>460</v>
      </c>
      <c r="C242" s="10">
        <v>3129</v>
      </c>
    </row>
    <row r="243" spans="1:3" x14ac:dyDescent="0.25">
      <c r="A243" s="10" t="s">
        <v>461</v>
      </c>
      <c r="B243" s="10" t="s">
        <v>462</v>
      </c>
      <c r="C243" s="10">
        <v>714617</v>
      </c>
    </row>
    <row r="244" spans="1:3" x14ac:dyDescent="0.25">
      <c r="A244" s="10" t="s">
        <v>463</v>
      </c>
      <c r="B244" s="10" t="s">
        <v>464</v>
      </c>
      <c r="C244" s="10">
        <v>3076</v>
      </c>
    </row>
    <row r="245" spans="1:3" x14ac:dyDescent="0.25">
      <c r="A245" s="10" t="s">
        <v>465</v>
      </c>
      <c r="B245" s="10" t="s">
        <v>466</v>
      </c>
      <c r="C245" s="10">
        <v>2852</v>
      </c>
    </row>
    <row r="246" spans="1:3" x14ac:dyDescent="0.25">
      <c r="A246" s="10" t="s">
        <v>467</v>
      </c>
      <c r="B246" s="10" t="s">
        <v>468</v>
      </c>
      <c r="C246" s="10">
        <v>2860</v>
      </c>
    </row>
    <row r="247" spans="1:3" x14ac:dyDescent="0.25">
      <c r="A247" s="10" t="s">
        <v>469</v>
      </c>
      <c r="B247" s="10" t="s">
        <v>470</v>
      </c>
      <c r="C247" s="10">
        <v>3106</v>
      </c>
    </row>
    <row r="248" spans="1:3" x14ac:dyDescent="0.25">
      <c r="A248" s="10" t="s">
        <v>471</v>
      </c>
      <c r="B248" s="10" t="s">
        <v>472</v>
      </c>
      <c r="C248" s="10">
        <v>2848</v>
      </c>
    </row>
    <row r="249" spans="1:3" x14ac:dyDescent="0.25">
      <c r="A249" s="10" t="s">
        <v>473</v>
      </c>
      <c r="B249" s="10" t="s">
        <v>474</v>
      </c>
      <c r="C249" s="10">
        <v>2651</v>
      </c>
    </row>
    <row r="250" spans="1:3" x14ac:dyDescent="0.25">
      <c r="A250" s="10" t="s">
        <v>475</v>
      </c>
      <c r="B250" s="10" t="s">
        <v>476</v>
      </c>
      <c r="C250" s="10">
        <v>3112</v>
      </c>
    </row>
    <row r="251" spans="1:3" x14ac:dyDescent="0.25">
      <c r="A251" s="10" t="s">
        <v>477</v>
      </c>
      <c r="B251" s="10"/>
      <c r="C251" s="10">
        <v>193296</v>
      </c>
    </row>
    <row r="252" spans="1:3" x14ac:dyDescent="0.25">
      <c r="A252" s="10" t="s">
        <v>478</v>
      </c>
      <c r="B252" s="10" t="s">
        <v>479</v>
      </c>
      <c r="C252" s="10">
        <v>4212</v>
      </c>
    </row>
    <row r="253" spans="1:3" x14ac:dyDescent="0.25">
      <c r="A253" s="10" t="s">
        <v>480</v>
      </c>
      <c r="B253" s="10" t="s">
        <v>481</v>
      </c>
      <c r="C253" s="10">
        <v>4215</v>
      </c>
    </row>
    <row r="254" spans="1:3" x14ac:dyDescent="0.25">
      <c r="A254" s="10" t="s">
        <v>483</v>
      </c>
      <c r="B254" s="10" t="s">
        <v>484</v>
      </c>
      <c r="C254" s="10">
        <v>3696</v>
      </c>
    </row>
    <row r="255" spans="1:3" x14ac:dyDescent="0.25">
      <c r="A255" s="10" t="s">
        <v>485</v>
      </c>
      <c r="B255" s="10" t="s">
        <v>486</v>
      </c>
      <c r="C255" s="10">
        <v>790985</v>
      </c>
    </row>
    <row r="256" spans="1:3" x14ac:dyDescent="0.25">
      <c r="A256" s="10" t="s">
        <v>1047</v>
      </c>
      <c r="B256" s="10" t="s">
        <v>625</v>
      </c>
      <c r="C256" s="10">
        <v>790986</v>
      </c>
    </row>
    <row r="257" spans="1:3" x14ac:dyDescent="0.25">
      <c r="A257" s="10" t="s">
        <v>1048</v>
      </c>
      <c r="B257" s="10" t="s">
        <v>626</v>
      </c>
      <c r="C257" s="10">
        <v>828785</v>
      </c>
    </row>
    <row r="258" spans="1:3" x14ac:dyDescent="0.25">
      <c r="A258" s="10" t="s">
        <v>487</v>
      </c>
      <c r="B258" s="10" t="s">
        <v>488</v>
      </c>
      <c r="C258" s="10">
        <v>2419</v>
      </c>
    </row>
    <row r="259" spans="1:3" x14ac:dyDescent="0.25">
      <c r="A259" s="10" t="s">
        <v>489</v>
      </c>
      <c r="B259" s="10" t="s">
        <v>490</v>
      </c>
      <c r="C259" s="10">
        <v>534748</v>
      </c>
    </row>
    <row r="260" spans="1:3" x14ac:dyDescent="0.25">
      <c r="A260" s="10" t="s">
        <v>1049</v>
      </c>
      <c r="B260" s="10" t="s">
        <v>808</v>
      </c>
      <c r="C260" s="10">
        <v>3336</v>
      </c>
    </row>
    <row r="261" spans="1:3" x14ac:dyDescent="0.25">
      <c r="A261" s="10" t="s">
        <v>491</v>
      </c>
      <c r="B261" s="10" t="s">
        <v>492</v>
      </c>
      <c r="C261" s="10">
        <v>627743</v>
      </c>
    </row>
    <row r="262" spans="1:3" x14ac:dyDescent="0.25">
      <c r="A262" s="10" t="s">
        <v>493</v>
      </c>
      <c r="B262" s="10" t="s">
        <v>494</v>
      </c>
      <c r="C262" s="10">
        <v>627745</v>
      </c>
    </row>
    <row r="263" spans="1:3" x14ac:dyDescent="0.25">
      <c r="A263" s="10" t="s">
        <v>495</v>
      </c>
      <c r="B263" s="10" t="s">
        <v>496</v>
      </c>
      <c r="C263" s="10">
        <v>199465</v>
      </c>
    </row>
    <row r="264" spans="1:3" x14ac:dyDescent="0.25">
      <c r="A264" s="10" t="s">
        <v>497</v>
      </c>
      <c r="B264" s="10" t="s">
        <v>498</v>
      </c>
      <c r="C264" s="10">
        <v>520974</v>
      </c>
    </row>
    <row r="265" spans="1:3" x14ac:dyDescent="0.25">
      <c r="A265" s="10" t="s">
        <v>499</v>
      </c>
      <c r="B265" s="10" t="s">
        <v>500</v>
      </c>
      <c r="C265" s="10">
        <v>2477</v>
      </c>
    </row>
    <row r="266" spans="1:3" x14ac:dyDescent="0.25">
      <c r="A266" s="10" t="s">
        <v>501</v>
      </c>
      <c r="B266" s="10" t="s">
        <v>502</v>
      </c>
      <c r="C266" s="10">
        <v>3595</v>
      </c>
    </row>
    <row r="267" spans="1:3" x14ac:dyDescent="0.25">
      <c r="A267" s="10" t="s">
        <v>503</v>
      </c>
      <c r="B267" s="10" t="s">
        <v>504</v>
      </c>
      <c r="C267" s="10">
        <v>3807</v>
      </c>
    </row>
    <row r="268" spans="1:3" x14ac:dyDescent="0.25">
      <c r="A268" s="10" t="s">
        <v>505</v>
      </c>
      <c r="B268" s="10" t="s">
        <v>506</v>
      </c>
      <c r="C268" s="10">
        <v>3814</v>
      </c>
    </row>
    <row r="269" spans="1:3" x14ac:dyDescent="0.25">
      <c r="A269" s="10" t="s">
        <v>507</v>
      </c>
      <c r="B269" s="10" t="s">
        <v>508</v>
      </c>
      <c r="C269" s="10">
        <v>199409</v>
      </c>
    </row>
    <row r="270" spans="1:3" x14ac:dyDescent="0.25">
      <c r="A270" s="10" t="s">
        <v>509</v>
      </c>
      <c r="B270" s="10" t="s">
        <v>510</v>
      </c>
      <c r="C270" s="10">
        <v>4460</v>
      </c>
    </row>
    <row r="271" spans="1:3" x14ac:dyDescent="0.25">
      <c r="A271" s="10" t="s">
        <v>511</v>
      </c>
      <c r="B271" s="10" t="s">
        <v>512</v>
      </c>
      <c r="C271" s="10">
        <v>186006</v>
      </c>
    </row>
    <row r="272" spans="1:3" x14ac:dyDescent="0.25">
      <c r="A272" s="10" t="s">
        <v>513</v>
      </c>
      <c r="B272" s="10" t="s">
        <v>514</v>
      </c>
      <c r="C272" s="10">
        <v>3302</v>
      </c>
    </row>
    <row r="273" spans="1:3" x14ac:dyDescent="0.25">
      <c r="A273" s="10" t="s">
        <v>516</v>
      </c>
      <c r="B273" s="10" t="s">
        <v>517</v>
      </c>
      <c r="C273" s="10">
        <v>3289</v>
      </c>
    </row>
    <row r="274" spans="1:3" x14ac:dyDescent="0.25">
      <c r="A274" s="10" t="s">
        <v>518</v>
      </c>
      <c r="B274" s="10" t="s">
        <v>519</v>
      </c>
      <c r="C274" s="10">
        <v>3293</v>
      </c>
    </row>
    <row r="275" spans="1:3" x14ac:dyDescent="0.25">
      <c r="A275" s="10" t="s">
        <v>520</v>
      </c>
      <c r="B275" s="10" t="s">
        <v>521</v>
      </c>
      <c r="C275" s="10">
        <v>3278</v>
      </c>
    </row>
    <row r="276" spans="1:3" x14ac:dyDescent="0.25">
      <c r="A276" s="10" t="s">
        <v>522</v>
      </c>
      <c r="B276" s="10" t="s">
        <v>523</v>
      </c>
      <c r="C276" s="10">
        <v>3299</v>
      </c>
    </row>
    <row r="277" spans="1:3" x14ac:dyDescent="0.25">
      <c r="A277" s="10" t="s">
        <v>524</v>
      </c>
      <c r="B277" s="10" t="s">
        <v>525</v>
      </c>
      <c r="C277" s="10">
        <v>3300</v>
      </c>
    </row>
    <row r="278" spans="1:3" x14ac:dyDescent="0.25">
      <c r="A278" s="10" t="s">
        <v>526</v>
      </c>
      <c r="B278" s="10" t="s">
        <v>525</v>
      </c>
      <c r="C278" s="10">
        <v>3297</v>
      </c>
    </row>
    <row r="279" spans="1:3" x14ac:dyDescent="0.25">
      <c r="A279" s="10" t="s">
        <v>527</v>
      </c>
      <c r="B279" s="10" t="s">
        <v>528</v>
      </c>
      <c r="C279" s="10">
        <v>3307</v>
      </c>
    </row>
    <row r="280" spans="1:3" x14ac:dyDescent="0.25">
      <c r="A280" s="10" t="s">
        <v>529</v>
      </c>
      <c r="B280" s="10" t="s">
        <v>530</v>
      </c>
      <c r="C280" s="10">
        <v>3309</v>
      </c>
    </row>
    <row r="281" spans="1:3" x14ac:dyDescent="0.25">
      <c r="A281" s="10" t="s">
        <v>531</v>
      </c>
      <c r="B281" s="10"/>
      <c r="C281" s="10">
        <v>193860</v>
      </c>
    </row>
    <row r="282" spans="1:3" x14ac:dyDescent="0.25">
      <c r="A282" s="10" t="s">
        <v>532</v>
      </c>
      <c r="B282" s="10" t="s">
        <v>533</v>
      </c>
      <c r="C282" s="10">
        <v>3311</v>
      </c>
    </row>
    <row r="283" spans="1:3" x14ac:dyDescent="0.25">
      <c r="A283" s="10" t="s">
        <v>534</v>
      </c>
      <c r="B283" s="10" t="s">
        <v>535</v>
      </c>
      <c r="C283" s="10">
        <v>199374</v>
      </c>
    </row>
    <row r="284" spans="1:3" x14ac:dyDescent="0.25">
      <c r="A284" s="10" t="s">
        <v>537</v>
      </c>
      <c r="B284" s="10" t="s">
        <v>538</v>
      </c>
      <c r="C284" s="10">
        <v>444425</v>
      </c>
    </row>
    <row r="285" spans="1:3" x14ac:dyDescent="0.25">
      <c r="A285" s="10" t="s">
        <v>1050</v>
      </c>
      <c r="B285" s="10" t="s">
        <v>515</v>
      </c>
      <c r="C285" s="10">
        <v>627332</v>
      </c>
    </row>
    <row r="286" spans="1:3" x14ac:dyDescent="0.25">
      <c r="A286" s="10" t="s">
        <v>539</v>
      </c>
      <c r="B286" s="10" t="s">
        <v>540</v>
      </c>
      <c r="C286" s="10">
        <v>627334</v>
      </c>
    </row>
    <row r="287" spans="1:3" x14ac:dyDescent="0.25">
      <c r="A287" s="10" t="s">
        <v>541</v>
      </c>
      <c r="B287" s="10" t="s">
        <v>542</v>
      </c>
      <c r="C287" s="10">
        <v>2554</v>
      </c>
    </row>
    <row r="288" spans="1:3" x14ac:dyDescent="0.25">
      <c r="A288" s="10" t="s">
        <v>543</v>
      </c>
      <c r="B288" s="10"/>
      <c r="C288" s="10">
        <v>194150</v>
      </c>
    </row>
    <row r="289" spans="1:3" x14ac:dyDescent="0.25">
      <c r="A289" s="10" t="s">
        <v>544</v>
      </c>
      <c r="B289" s="10"/>
      <c r="C289" s="10">
        <v>194164</v>
      </c>
    </row>
    <row r="290" spans="1:3" x14ac:dyDescent="0.25">
      <c r="A290" s="10" t="s">
        <v>545</v>
      </c>
      <c r="B290" s="10" t="s">
        <v>546</v>
      </c>
      <c r="C290" s="10">
        <v>432719</v>
      </c>
    </row>
    <row r="291" spans="1:3" x14ac:dyDescent="0.25">
      <c r="A291" s="10" t="s">
        <v>547</v>
      </c>
      <c r="B291" s="10" t="s">
        <v>546</v>
      </c>
      <c r="C291" s="10">
        <v>2568</v>
      </c>
    </row>
    <row r="292" spans="1:3" x14ac:dyDescent="0.25">
      <c r="A292" s="10" t="s">
        <v>548</v>
      </c>
      <c r="B292" s="10" t="s">
        <v>549</v>
      </c>
      <c r="C292" s="10">
        <v>2563</v>
      </c>
    </row>
    <row r="293" spans="1:3" x14ac:dyDescent="0.25">
      <c r="A293" s="10" t="s">
        <v>1051</v>
      </c>
      <c r="B293" s="10" t="s">
        <v>258</v>
      </c>
      <c r="C293" s="10">
        <v>889047</v>
      </c>
    </row>
    <row r="294" spans="1:3" x14ac:dyDescent="0.25">
      <c r="A294" s="10" t="s">
        <v>550</v>
      </c>
      <c r="B294" s="10" t="s">
        <v>551</v>
      </c>
      <c r="C294" s="10">
        <v>4172</v>
      </c>
    </row>
    <row r="295" spans="1:3" x14ac:dyDescent="0.25">
      <c r="A295" s="10" t="s">
        <v>552</v>
      </c>
      <c r="B295" s="10" t="s">
        <v>553</v>
      </c>
      <c r="C295" s="10">
        <v>4167</v>
      </c>
    </row>
    <row r="296" spans="1:3" x14ac:dyDescent="0.25">
      <c r="A296" s="10" t="s">
        <v>1052</v>
      </c>
      <c r="B296" s="10" t="s">
        <v>653</v>
      </c>
      <c r="C296" s="10">
        <v>534750</v>
      </c>
    </row>
    <row r="297" spans="1:3" x14ac:dyDescent="0.25">
      <c r="A297" s="10" t="s">
        <v>554</v>
      </c>
      <c r="B297" s="10" t="s">
        <v>555</v>
      </c>
      <c r="C297" s="10">
        <v>4603</v>
      </c>
    </row>
    <row r="298" spans="1:3" x14ac:dyDescent="0.25">
      <c r="A298" s="10" t="s">
        <v>556</v>
      </c>
      <c r="B298" s="10" t="s">
        <v>557</v>
      </c>
      <c r="C298" s="10">
        <v>3670</v>
      </c>
    </row>
    <row r="299" spans="1:3" x14ac:dyDescent="0.25">
      <c r="A299" s="10" t="s">
        <v>558</v>
      </c>
      <c r="B299" s="10" t="s">
        <v>559</v>
      </c>
      <c r="C299" s="10">
        <v>4013</v>
      </c>
    </row>
    <row r="300" spans="1:3" x14ac:dyDescent="0.25">
      <c r="A300" s="10" t="s">
        <v>560</v>
      </c>
      <c r="B300" s="10"/>
      <c r="C300" s="10">
        <v>4027</v>
      </c>
    </row>
    <row r="301" spans="1:3" x14ac:dyDescent="0.25">
      <c r="A301" s="10" t="s">
        <v>561</v>
      </c>
      <c r="B301" s="10" t="s">
        <v>562</v>
      </c>
      <c r="C301" s="10">
        <v>4023</v>
      </c>
    </row>
    <row r="302" spans="1:3" x14ac:dyDescent="0.25">
      <c r="A302" s="10" t="s">
        <v>563</v>
      </c>
      <c r="B302" s="10"/>
      <c r="C302" s="10">
        <v>4028</v>
      </c>
    </row>
    <row r="303" spans="1:3" x14ac:dyDescent="0.25">
      <c r="A303" s="10" t="s">
        <v>564</v>
      </c>
      <c r="B303" s="10"/>
      <c r="C303" s="10">
        <v>4026</v>
      </c>
    </row>
    <row r="304" spans="1:3" x14ac:dyDescent="0.25">
      <c r="A304" s="10" t="s">
        <v>565</v>
      </c>
      <c r="B304" s="10" t="s">
        <v>566</v>
      </c>
      <c r="C304" s="10">
        <v>2538</v>
      </c>
    </row>
    <row r="305" spans="1:3" x14ac:dyDescent="0.25">
      <c r="A305" s="10" t="s">
        <v>1053</v>
      </c>
      <c r="B305" s="10"/>
      <c r="C305" s="10">
        <v>1955</v>
      </c>
    </row>
    <row r="306" spans="1:3" x14ac:dyDescent="0.25">
      <c r="A306" s="10" t="s">
        <v>1054</v>
      </c>
      <c r="B306" s="10" t="s">
        <v>98</v>
      </c>
      <c r="C306" s="10">
        <v>1952</v>
      </c>
    </row>
    <row r="307" spans="1:3" x14ac:dyDescent="0.25">
      <c r="A307" s="10" t="s">
        <v>1055</v>
      </c>
      <c r="B307" s="10" t="s">
        <v>102</v>
      </c>
      <c r="C307" s="10">
        <v>836203</v>
      </c>
    </row>
    <row r="308" spans="1:3" x14ac:dyDescent="0.25">
      <c r="A308" s="10" t="s">
        <v>567</v>
      </c>
      <c r="B308" s="10" t="s">
        <v>568</v>
      </c>
      <c r="C308" s="10">
        <v>1980</v>
      </c>
    </row>
    <row r="309" spans="1:3" x14ac:dyDescent="0.25">
      <c r="A309" s="10" t="s">
        <v>569</v>
      </c>
      <c r="B309" s="10"/>
      <c r="C309" s="10">
        <v>194551</v>
      </c>
    </row>
    <row r="310" spans="1:3" x14ac:dyDescent="0.25">
      <c r="A310" s="10" t="s">
        <v>570</v>
      </c>
      <c r="B310" s="10" t="s">
        <v>571</v>
      </c>
      <c r="C310" s="10">
        <v>2801</v>
      </c>
    </row>
    <row r="311" spans="1:3" x14ac:dyDescent="0.25">
      <c r="A311" s="10" t="s">
        <v>572</v>
      </c>
      <c r="B311" s="10" t="s">
        <v>573</v>
      </c>
      <c r="C311" s="10">
        <v>2794</v>
      </c>
    </row>
    <row r="312" spans="1:3" x14ac:dyDescent="0.25">
      <c r="A312" s="10" t="s">
        <v>574</v>
      </c>
      <c r="B312" s="10" t="s">
        <v>575</v>
      </c>
      <c r="C312" s="10">
        <v>3644</v>
      </c>
    </row>
    <row r="313" spans="1:3" x14ac:dyDescent="0.25">
      <c r="A313" s="10" t="s">
        <v>1056</v>
      </c>
      <c r="B313" s="10" t="s">
        <v>1057</v>
      </c>
      <c r="C313" s="10">
        <v>199312</v>
      </c>
    </row>
    <row r="314" spans="1:3" x14ac:dyDescent="0.25">
      <c r="A314" s="10" t="s">
        <v>576</v>
      </c>
      <c r="B314" s="10"/>
      <c r="C314" s="10">
        <v>199219</v>
      </c>
    </row>
    <row r="315" spans="1:3" x14ac:dyDescent="0.25">
      <c r="A315" s="10" t="s">
        <v>577</v>
      </c>
      <c r="B315" s="10" t="s">
        <v>578</v>
      </c>
      <c r="C315" s="10">
        <v>2818</v>
      </c>
    </row>
    <row r="316" spans="1:3" x14ac:dyDescent="0.25">
      <c r="A316" s="10" t="s">
        <v>579</v>
      </c>
      <c r="B316" s="10" t="s">
        <v>580</v>
      </c>
      <c r="C316" s="10">
        <v>2816</v>
      </c>
    </row>
    <row r="317" spans="1:3" x14ac:dyDescent="0.25">
      <c r="A317" s="10" t="s">
        <v>581</v>
      </c>
      <c r="B317" s="10" t="s">
        <v>582</v>
      </c>
      <c r="C317" s="10">
        <v>3582</v>
      </c>
    </row>
    <row r="318" spans="1:3" x14ac:dyDescent="0.25">
      <c r="A318" s="10" t="s">
        <v>584</v>
      </c>
      <c r="B318" s="10" t="s">
        <v>585</v>
      </c>
      <c r="C318" s="10">
        <v>2840</v>
      </c>
    </row>
    <row r="319" spans="1:3" x14ac:dyDescent="0.25">
      <c r="A319" s="10" t="s">
        <v>586</v>
      </c>
      <c r="B319" s="10" t="s">
        <v>587</v>
      </c>
      <c r="C319" s="10">
        <v>2844</v>
      </c>
    </row>
    <row r="320" spans="1:3" x14ac:dyDescent="0.25">
      <c r="A320" s="10" t="s">
        <v>588</v>
      </c>
      <c r="B320" s="10" t="s">
        <v>589</v>
      </c>
      <c r="C320" s="10">
        <v>4084</v>
      </c>
    </row>
    <row r="321" spans="1:3" x14ac:dyDescent="0.25">
      <c r="A321" s="10" t="s">
        <v>590</v>
      </c>
      <c r="B321" s="10" t="s">
        <v>591</v>
      </c>
      <c r="C321" s="10">
        <v>2437</v>
      </c>
    </row>
    <row r="322" spans="1:3" x14ac:dyDescent="0.25">
      <c r="A322" s="10" t="s">
        <v>592</v>
      </c>
      <c r="B322" s="10" t="s">
        <v>593</v>
      </c>
      <c r="C322" s="10">
        <v>3943</v>
      </c>
    </row>
    <row r="323" spans="1:3" x14ac:dyDescent="0.25">
      <c r="A323" s="10" t="s">
        <v>594</v>
      </c>
      <c r="B323" s="10" t="s">
        <v>593</v>
      </c>
      <c r="C323" s="10">
        <v>3941</v>
      </c>
    </row>
    <row r="324" spans="1:3" x14ac:dyDescent="0.25">
      <c r="A324" s="10" t="s">
        <v>595</v>
      </c>
      <c r="B324" s="10" t="s">
        <v>596</v>
      </c>
      <c r="C324" s="10">
        <v>3945</v>
      </c>
    </row>
    <row r="325" spans="1:3" x14ac:dyDescent="0.25">
      <c r="A325" s="10" t="s">
        <v>597</v>
      </c>
      <c r="B325" s="10" t="s">
        <v>598</v>
      </c>
      <c r="C325" s="10">
        <v>3755</v>
      </c>
    </row>
    <row r="326" spans="1:3" x14ac:dyDescent="0.25">
      <c r="A326" s="10" t="s">
        <v>599</v>
      </c>
      <c r="B326" s="10" t="s">
        <v>600</v>
      </c>
      <c r="C326" s="10">
        <v>3948</v>
      </c>
    </row>
    <row r="327" spans="1:3" x14ac:dyDescent="0.25">
      <c r="A327" s="10" t="s">
        <v>1058</v>
      </c>
      <c r="B327" s="10"/>
      <c r="C327" s="10">
        <v>3752</v>
      </c>
    </row>
    <row r="328" spans="1:3" x14ac:dyDescent="0.25">
      <c r="A328" s="10" t="s">
        <v>601</v>
      </c>
      <c r="B328" s="10"/>
      <c r="C328" s="10">
        <v>3744</v>
      </c>
    </row>
    <row r="329" spans="1:3" x14ac:dyDescent="0.25">
      <c r="A329" s="10" t="s">
        <v>602</v>
      </c>
      <c r="B329" s="10"/>
      <c r="C329" s="10">
        <v>3745</v>
      </c>
    </row>
    <row r="330" spans="1:3" x14ac:dyDescent="0.25">
      <c r="A330" s="10" t="s">
        <v>603</v>
      </c>
      <c r="B330" s="10"/>
      <c r="C330" s="10">
        <v>3747</v>
      </c>
    </row>
    <row r="331" spans="1:3" x14ac:dyDescent="0.25">
      <c r="A331" s="10" t="s">
        <v>604</v>
      </c>
      <c r="B331" s="10" t="s">
        <v>605</v>
      </c>
      <c r="C331" s="10">
        <v>3741</v>
      </c>
    </row>
    <row r="332" spans="1:3" x14ac:dyDescent="0.25">
      <c r="A332" s="10" t="s">
        <v>606</v>
      </c>
      <c r="B332" s="10"/>
      <c r="C332" s="10">
        <v>3751</v>
      </c>
    </row>
    <row r="333" spans="1:3" x14ac:dyDescent="0.25">
      <c r="A333" s="10" t="s">
        <v>607</v>
      </c>
      <c r="B333" s="10" t="s">
        <v>608</v>
      </c>
      <c r="C333" s="10">
        <v>4319</v>
      </c>
    </row>
    <row r="334" spans="1:3" x14ac:dyDescent="0.25">
      <c r="A334" s="10" t="s">
        <v>609</v>
      </c>
      <c r="B334" s="10" t="s">
        <v>610</v>
      </c>
      <c r="C334" s="10">
        <v>2856</v>
      </c>
    </row>
    <row r="335" spans="1:3" x14ac:dyDescent="0.25">
      <c r="A335" s="10" t="s">
        <v>1059</v>
      </c>
      <c r="B335" s="10"/>
      <c r="C335" s="10">
        <v>195201</v>
      </c>
    </row>
    <row r="336" spans="1:3" x14ac:dyDescent="0.25">
      <c r="A336" s="10" t="s">
        <v>611</v>
      </c>
      <c r="B336" s="10" t="s">
        <v>612</v>
      </c>
      <c r="C336" s="10">
        <v>813759</v>
      </c>
    </row>
    <row r="337" spans="1:3" x14ac:dyDescent="0.25">
      <c r="A337" s="10" t="s">
        <v>613</v>
      </c>
      <c r="B337" s="10" t="s">
        <v>614</v>
      </c>
      <c r="C337" s="10">
        <v>1984</v>
      </c>
    </row>
    <row r="338" spans="1:3" x14ac:dyDescent="0.25">
      <c r="A338" s="10" t="s">
        <v>615</v>
      </c>
      <c r="B338" s="10" t="s">
        <v>616</v>
      </c>
      <c r="C338" s="10">
        <v>2576</v>
      </c>
    </row>
    <row r="339" spans="1:3" x14ac:dyDescent="0.25">
      <c r="A339" s="10" t="s">
        <v>617</v>
      </c>
      <c r="B339" s="10"/>
      <c r="C339" s="10">
        <v>195290</v>
      </c>
    </row>
    <row r="340" spans="1:3" x14ac:dyDescent="0.25">
      <c r="A340" s="10" t="s">
        <v>618</v>
      </c>
      <c r="B340" s="10" t="s">
        <v>619</v>
      </c>
      <c r="C340" s="10">
        <v>2571</v>
      </c>
    </row>
    <row r="341" spans="1:3" x14ac:dyDescent="0.25">
      <c r="A341" s="10" t="s">
        <v>620</v>
      </c>
      <c r="B341" s="10" t="s">
        <v>619</v>
      </c>
      <c r="C341" s="10">
        <v>432720</v>
      </c>
    </row>
    <row r="342" spans="1:3" x14ac:dyDescent="0.25">
      <c r="A342" s="10" t="s">
        <v>621</v>
      </c>
      <c r="B342" s="10" t="s">
        <v>622</v>
      </c>
      <c r="C342" s="10">
        <v>2481</v>
      </c>
    </row>
    <row r="343" spans="1:3" x14ac:dyDescent="0.25">
      <c r="A343" s="10" t="s">
        <v>623</v>
      </c>
      <c r="B343" s="10" t="s">
        <v>624</v>
      </c>
      <c r="C343" s="10">
        <v>714610</v>
      </c>
    </row>
    <row r="344" spans="1:3" x14ac:dyDescent="0.25">
      <c r="A344" s="10" t="s">
        <v>627</v>
      </c>
      <c r="B344" s="10" t="s">
        <v>628</v>
      </c>
      <c r="C344" s="10">
        <v>199428</v>
      </c>
    </row>
    <row r="345" spans="1:3" x14ac:dyDescent="0.25">
      <c r="A345" s="10" t="s">
        <v>629</v>
      </c>
      <c r="B345" s="10" t="s">
        <v>630</v>
      </c>
      <c r="C345" s="10">
        <v>4074</v>
      </c>
    </row>
    <row r="346" spans="1:3" x14ac:dyDescent="0.25">
      <c r="A346" s="10" t="s">
        <v>631</v>
      </c>
      <c r="B346" s="10" t="s">
        <v>632</v>
      </c>
      <c r="C346" s="10">
        <v>4062</v>
      </c>
    </row>
    <row r="347" spans="1:3" x14ac:dyDescent="0.25">
      <c r="A347" s="10" t="s">
        <v>633</v>
      </c>
      <c r="B347" s="10"/>
      <c r="C347" s="10">
        <v>4068</v>
      </c>
    </row>
    <row r="348" spans="1:3" x14ac:dyDescent="0.25">
      <c r="A348" s="10" t="s">
        <v>634</v>
      </c>
      <c r="B348" s="10" t="s">
        <v>635</v>
      </c>
      <c r="C348" s="10">
        <v>4064</v>
      </c>
    </row>
    <row r="349" spans="1:3" x14ac:dyDescent="0.25">
      <c r="A349" s="10" t="s">
        <v>1060</v>
      </c>
      <c r="B349" s="10" t="s">
        <v>813</v>
      </c>
      <c r="C349" s="10">
        <v>528760</v>
      </c>
    </row>
    <row r="350" spans="1:3" x14ac:dyDescent="0.25">
      <c r="A350" s="10" t="s">
        <v>636</v>
      </c>
      <c r="B350" s="10" t="s">
        <v>637</v>
      </c>
      <c r="C350" s="10">
        <v>3803</v>
      </c>
    </row>
    <row r="351" spans="1:3" x14ac:dyDescent="0.25">
      <c r="A351" s="10" t="s">
        <v>638</v>
      </c>
      <c r="B351" s="10" t="s">
        <v>639</v>
      </c>
      <c r="C351" s="10">
        <v>3101</v>
      </c>
    </row>
    <row r="352" spans="1:3" x14ac:dyDescent="0.25">
      <c r="A352" s="10" t="s">
        <v>640</v>
      </c>
      <c r="B352" s="10" t="s">
        <v>641</v>
      </c>
      <c r="C352" s="10">
        <v>3489</v>
      </c>
    </row>
    <row r="353" spans="1:3" x14ac:dyDescent="0.25">
      <c r="A353" s="10" t="s">
        <v>642</v>
      </c>
      <c r="B353" s="10" t="s">
        <v>643</v>
      </c>
      <c r="C353" s="10">
        <v>2823</v>
      </c>
    </row>
    <row r="354" spans="1:3" x14ac:dyDescent="0.25">
      <c r="A354" s="10" t="s">
        <v>644</v>
      </c>
      <c r="B354" s="10" t="s">
        <v>645</v>
      </c>
      <c r="C354" s="10">
        <v>2826</v>
      </c>
    </row>
    <row r="355" spans="1:3" x14ac:dyDescent="0.25">
      <c r="A355" s="10" t="s">
        <v>646</v>
      </c>
      <c r="B355" s="10" t="s">
        <v>647</v>
      </c>
      <c r="C355" s="10">
        <v>2660</v>
      </c>
    </row>
    <row r="356" spans="1:3" x14ac:dyDescent="0.25">
      <c r="A356" s="10" t="s">
        <v>648</v>
      </c>
      <c r="B356" s="10" t="s">
        <v>649</v>
      </c>
      <c r="C356" s="10">
        <v>4338</v>
      </c>
    </row>
    <row r="357" spans="1:3" x14ac:dyDescent="0.25">
      <c r="A357" s="10" t="s">
        <v>650</v>
      </c>
      <c r="B357" s="10" t="s">
        <v>651</v>
      </c>
      <c r="C357" s="10">
        <v>186141</v>
      </c>
    </row>
    <row r="358" spans="1:3" x14ac:dyDescent="0.25">
      <c r="A358" s="10" t="s">
        <v>654</v>
      </c>
      <c r="B358" s="10" t="s">
        <v>655</v>
      </c>
      <c r="C358" s="10">
        <v>3764</v>
      </c>
    </row>
    <row r="359" spans="1:3" x14ac:dyDescent="0.25">
      <c r="A359" s="10" t="s">
        <v>656</v>
      </c>
      <c r="B359" s="10" t="s">
        <v>657</v>
      </c>
      <c r="C359" s="10">
        <v>4525</v>
      </c>
    </row>
    <row r="360" spans="1:3" x14ac:dyDescent="0.25">
      <c r="A360" s="10" t="s">
        <v>658</v>
      </c>
      <c r="B360" s="10" t="s">
        <v>659</v>
      </c>
      <c r="C360" s="10">
        <v>4532</v>
      </c>
    </row>
    <row r="361" spans="1:3" x14ac:dyDescent="0.25">
      <c r="A361" s="10" t="s">
        <v>660</v>
      </c>
      <c r="B361" s="10" t="s">
        <v>661</v>
      </c>
      <c r="C361" s="10">
        <v>4522</v>
      </c>
    </row>
    <row r="362" spans="1:3" x14ac:dyDescent="0.25">
      <c r="A362" s="10" t="s">
        <v>662</v>
      </c>
      <c r="B362" s="10" t="s">
        <v>663</v>
      </c>
      <c r="C362" s="10">
        <v>2460</v>
      </c>
    </row>
    <row r="363" spans="1:3" x14ac:dyDescent="0.25">
      <c r="A363" s="10" t="s">
        <v>664</v>
      </c>
      <c r="B363" s="10" t="s">
        <v>665</v>
      </c>
      <c r="C363" s="10">
        <v>2989</v>
      </c>
    </row>
    <row r="364" spans="1:3" x14ac:dyDescent="0.25">
      <c r="A364" s="10" t="s">
        <v>666</v>
      </c>
      <c r="B364" s="10" t="s">
        <v>667</v>
      </c>
      <c r="C364" s="10">
        <v>534751</v>
      </c>
    </row>
    <row r="365" spans="1:3" x14ac:dyDescent="0.25">
      <c r="A365" s="10" t="s">
        <v>668</v>
      </c>
      <c r="B365" s="10" t="s">
        <v>669</v>
      </c>
      <c r="C365" s="10">
        <v>2832</v>
      </c>
    </row>
    <row r="366" spans="1:3" x14ac:dyDescent="0.25">
      <c r="A366" s="10" t="s">
        <v>670</v>
      </c>
      <c r="B366" s="10" t="s">
        <v>671</v>
      </c>
      <c r="C366" s="10">
        <v>4540</v>
      </c>
    </row>
    <row r="367" spans="1:3" x14ac:dyDescent="0.25">
      <c r="A367" s="10" t="s">
        <v>672</v>
      </c>
      <c r="B367" s="10" t="s">
        <v>673</v>
      </c>
      <c r="C367" s="10">
        <v>2447</v>
      </c>
    </row>
    <row r="368" spans="1:3" x14ac:dyDescent="0.25">
      <c r="A368" s="10" t="s">
        <v>674</v>
      </c>
      <c r="B368" s="10"/>
      <c r="C368" s="10">
        <v>2442</v>
      </c>
    </row>
    <row r="369" spans="1:3" x14ac:dyDescent="0.25">
      <c r="A369" s="10" t="s">
        <v>676</v>
      </c>
      <c r="B369" s="10" t="s">
        <v>675</v>
      </c>
      <c r="C369" s="10">
        <v>2440</v>
      </c>
    </row>
    <row r="370" spans="1:3" x14ac:dyDescent="0.25">
      <c r="A370" s="10" t="s">
        <v>1061</v>
      </c>
      <c r="B370" s="10"/>
      <c r="C370" s="10">
        <v>2446</v>
      </c>
    </row>
    <row r="371" spans="1:3" x14ac:dyDescent="0.25">
      <c r="A371" s="10" t="s">
        <v>677</v>
      </c>
      <c r="B371" s="10"/>
      <c r="C371" s="10">
        <v>196060</v>
      </c>
    </row>
    <row r="372" spans="1:3" x14ac:dyDescent="0.25">
      <c r="A372" s="10" t="s">
        <v>678</v>
      </c>
      <c r="B372" s="10" t="s">
        <v>679</v>
      </c>
      <c r="C372" s="10">
        <v>3250</v>
      </c>
    </row>
    <row r="373" spans="1:3" x14ac:dyDescent="0.25">
      <c r="A373" s="10" t="s">
        <v>680</v>
      </c>
      <c r="B373" s="10" t="s">
        <v>681</v>
      </c>
      <c r="C373" s="10">
        <v>3243</v>
      </c>
    </row>
    <row r="374" spans="1:3" x14ac:dyDescent="0.25">
      <c r="A374" s="10" t="s">
        <v>682</v>
      </c>
      <c r="B374" s="10" t="s">
        <v>683</v>
      </c>
      <c r="C374" s="10">
        <v>3003</v>
      </c>
    </row>
    <row r="375" spans="1:3" x14ac:dyDescent="0.25">
      <c r="A375" s="10" t="s">
        <v>685</v>
      </c>
      <c r="B375" s="10" t="s">
        <v>686</v>
      </c>
      <c r="C375" s="10">
        <v>2692</v>
      </c>
    </row>
    <row r="376" spans="1:3" x14ac:dyDescent="0.25">
      <c r="A376" s="10" t="s">
        <v>687</v>
      </c>
      <c r="B376" s="10" t="s">
        <v>688</v>
      </c>
      <c r="C376" s="10">
        <v>199335</v>
      </c>
    </row>
    <row r="377" spans="1:3" x14ac:dyDescent="0.25">
      <c r="A377" s="10" t="s">
        <v>689</v>
      </c>
      <c r="B377" s="10" t="s">
        <v>690</v>
      </c>
      <c r="C377" s="10">
        <v>2694</v>
      </c>
    </row>
    <row r="378" spans="1:3" x14ac:dyDescent="0.25">
      <c r="A378" s="10" t="s">
        <v>691</v>
      </c>
      <c r="B378" s="10"/>
      <c r="C378" s="10">
        <v>196141</v>
      </c>
    </row>
    <row r="379" spans="1:3" x14ac:dyDescent="0.25">
      <c r="A379" s="10" t="s">
        <v>692</v>
      </c>
      <c r="B379" s="10" t="s">
        <v>693</v>
      </c>
      <c r="C379" s="10">
        <v>4035</v>
      </c>
    </row>
    <row r="380" spans="1:3" x14ac:dyDescent="0.25">
      <c r="A380" s="10" t="s">
        <v>694</v>
      </c>
      <c r="B380" s="10" t="s">
        <v>695</v>
      </c>
      <c r="C380" s="10">
        <v>4040</v>
      </c>
    </row>
    <row r="381" spans="1:3" x14ac:dyDescent="0.25">
      <c r="A381" s="10" t="s">
        <v>696</v>
      </c>
      <c r="B381" s="10" t="s">
        <v>697</v>
      </c>
      <c r="C381" s="10">
        <v>4269</v>
      </c>
    </row>
    <row r="382" spans="1:3" x14ac:dyDescent="0.25">
      <c r="A382" s="10" t="s">
        <v>698</v>
      </c>
      <c r="B382" s="10"/>
      <c r="C382" s="10">
        <v>4287</v>
      </c>
    </row>
    <row r="383" spans="1:3" x14ac:dyDescent="0.25">
      <c r="A383" s="10" t="s">
        <v>699</v>
      </c>
      <c r="B383" s="10" t="s">
        <v>700</v>
      </c>
      <c r="C383" s="10">
        <v>4288</v>
      </c>
    </row>
    <row r="384" spans="1:3" x14ac:dyDescent="0.25">
      <c r="A384" s="10" t="s">
        <v>701</v>
      </c>
      <c r="B384" s="10" t="s">
        <v>702</v>
      </c>
      <c r="C384" s="10">
        <v>4280</v>
      </c>
    </row>
    <row r="385" spans="1:3" x14ac:dyDescent="0.25">
      <c r="A385" s="10" t="s">
        <v>1062</v>
      </c>
      <c r="B385" s="10" t="s">
        <v>684</v>
      </c>
      <c r="C385" s="10">
        <v>4304</v>
      </c>
    </row>
    <row r="386" spans="1:3" x14ac:dyDescent="0.25">
      <c r="A386" s="10" t="s">
        <v>703</v>
      </c>
      <c r="B386" s="10" t="s">
        <v>704</v>
      </c>
      <c r="C386" s="10">
        <v>199477</v>
      </c>
    </row>
    <row r="387" spans="1:3" x14ac:dyDescent="0.25">
      <c r="A387" s="10" t="s">
        <v>705</v>
      </c>
      <c r="B387" s="10" t="s">
        <v>706</v>
      </c>
      <c r="C387" s="10">
        <v>4297</v>
      </c>
    </row>
    <row r="388" spans="1:3" x14ac:dyDescent="0.25">
      <c r="A388" s="10" t="s">
        <v>707</v>
      </c>
      <c r="B388" s="10" t="s">
        <v>708</v>
      </c>
      <c r="C388" s="10">
        <v>4267</v>
      </c>
    </row>
    <row r="389" spans="1:3" x14ac:dyDescent="0.25">
      <c r="A389" s="10" t="s">
        <v>709</v>
      </c>
      <c r="B389" s="10" t="s">
        <v>710</v>
      </c>
      <c r="C389" s="10">
        <v>4272</v>
      </c>
    </row>
    <row r="390" spans="1:3" x14ac:dyDescent="0.25">
      <c r="A390" s="10" t="s">
        <v>711</v>
      </c>
      <c r="B390" s="10" t="s">
        <v>712</v>
      </c>
      <c r="C390" s="10">
        <v>4289</v>
      </c>
    </row>
    <row r="391" spans="1:3" x14ac:dyDescent="0.25">
      <c r="A391" s="10" t="s">
        <v>713</v>
      </c>
      <c r="B391" s="10" t="s">
        <v>714</v>
      </c>
      <c r="C391" s="10">
        <v>4474</v>
      </c>
    </row>
    <row r="392" spans="1:3" x14ac:dyDescent="0.25">
      <c r="A392" s="10" t="s">
        <v>715</v>
      </c>
      <c r="B392" s="10" t="s">
        <v>716</v>
      </c>
      <c r="C392" s="10">
        <v>3603</v>
      </c>
    </row>
    <row r="393" spans="1:3" x14ac:dyDescent="0.25">
      <c r="A393" s="10" t="s">
        <v>1063</v>
      </c>
      <c r="B393" s="10" t="s">
        <v>38</v>
      </c>
      <c r="C393" s="10">
        <v>442237</v>
      </c>
    </row>
    <row r="394" spans="1:3" x14ac:dyDescent="0.25">
      <c r="A394" s="10" t="s">
        <v>1064</v>
      </c>
      <c r="B394" s="10" t="s">
        <v>1065</v>
      </c>
      <c r="C394" s="10">
        <v>2532</v>
      </c>
    </row>
    <row r="395" spans="1:3" x14ac:dyDescent="0.25">
      <c r="A395" s="10" t="s">
        <v>717</v>
      </c>
      <c r="B395" s="10" t="s">
        <v>718</v>
      </c>
      <c r="C395" s="10">
        <v>2530</v>
      </c>
    </row>
    <row r="396" spans="1:3" x14ac:dyDescent="0.25">
      <c r="A396" s="10" t="s">
        <v>719</v>
      </c>
      <c r="B396" s="10" t="s">
        <v>720</v>
      </c>
      <c r="C396" s="10">
        <v>4649</v>
      </c>
    </row>
    <row r="397" spans="1:3" x14ac:dyDescent="0.25">
      <c r="A397" s="10" t="s">
        <v>721</v>
      </c>
      <c r="B397" s="10" t="s">
        <v>722</v>
      </c>
      <c r="C397" s="10">
        <v>2522</v>
      </c>
    </row>
    <row r="398" spans="1:3" x14ac:dyDescent="0.25">
      <c r="A398" s="10" t="s">
        <v>723</v>
      </c>
      <c r="B398" s="10" t="s">
        <v>724</v>
      </c>
      <c r="C398" s="10">
        <v>3161</v>
      </c>
    </row>
    <row r="399" spans="1:3" x14ac:dyDescent="0.25">
      <c r="A399" s="10" t="s">
        <v>725</v>
      </c>
      <c r="B399" s="10" t="s">
        <v>1066</v>
      </c>
      <c r="C399" s="10">
        <v>3158</v>
      </c>
    </row>
    <row r="400" spans="1:3" x14ac:dyDescent="0.25">
      <c r="A400" s="10" t="s">
        <v>726</v>
      </c>
      <c r="B400" s="10" t="s">
        <v>727</v>
      </c>
      <c r="C400" s="10">
        <v>3170</v>
      </c>
    </row>
    <row r="401" spans="1:3" x14ac:dyDescent="0.25">
      <c r="A401" s="10" t="s">
        <v>728</v>
      </c>
      <c r="B401" s="10" t="s">
        <v>729</v>
      </c>
      <c r="C401" s="10">
        <v>3165</v>
      </c>
    </row>
    <row r="402" spans="1:3" x14ac:dyDescent="0.25">
      <c r="A402" s="10" t="s">
        <v>730</v>
      </c>
      <c r="B402" s="10" t="s">
        <v>731</v>
      </c>
      <c r="C402" s="10">
        <v>971</v>
      </c>
    </row>
    <row r="403" spans="1:3" x14ac:dyDescent="0.25">
      <c r="A403" s="10" t="s">
        <v>732</v>
      </c>
      <c r="B403" s="10" t="s">
        <v>733</v>
      </c>
      <c r="C403" s="10">
        <v>965</v>
      </c>
    </row>
    <row r="404" spans="1:3" x14ac:dyDescent="0.25">
      <c r="A404" s="10" t="s">
        <v>734</v>
      </c>
      <c r="B404" s="10" t="s">
        <v>735</v>
      </c>
      <c r="C404" s="10">
        <v>968</v>
      </c>
    </row>
    <row r="405" spans="1:3" x14ac:dyDescent="0.25">
      <c r="A405" s="10" t="s">
        <v>736</v>
      </c>
      <c r="B405" s="10" t="s">
        <v>737</v>
      </c>
      <c r="C405" s="10">
        <v>974</v>
      </c>
    </row>
    <row r="406" spans="1:3" x14ac:dyDescent="0.25">
      <c r="A406" s="10" t="s">
        <v>738</v>
      </c>
      <c r="B406" s="10" t="s">
        <v>739</v>
      </c>
      <c r="C406" s="10">
        <v>351923</v>
      </c>
    </row>
    <row r="407" spans="1:3" x14ac:dyDescent="0.25">
      <c r="A407" s="10" t="s">
        <v>740</v>
      </c>
      <c r="B407" s="10" t="s">
        <v>741</v>
      </c>
      <c r="C407" s="10">
        <v>534753</v>
      </c>
    </row>
    <row r="408" spans="1:3" x14ac:dyDescent="0.25">
      <c r="A408" s="10" t="s">
        <v>742</v>
      </c>
      <c r="B408" s="10" t="s">
        <v>743</v>
      </c>
      <c r="C408" s="10">
        <v>3039</v>
      </c>
    </row>
    <row r="409" spans="1:3" x14ac:dyDescent="0.25">
      <c r="A409" s="10" t="s">
        <v>745</v>
      </c>
      <c r="B409" s="10"/>
      <c r="C409" s="10">
        <v>196606</v>
      </c>
    </row>
    <row r="410" spans="1:3" x14ac:dyDescent="0.25">
      <c r="A410" s="10" t="s">
        <v>746</v>
      </c>
      <c r="B410" s="10" t="s">
        <v>747</v>
      </c>
      <c r="C410" s="10">
        <v>3984</v>
      </c>
    </row>
    <row r="411" spans="1:3" x14ac:dyDescent="0.25">
      <c r="A411" s="10" t="s">
        <v>748</v>
      </c>
      <c r="B411" s="10" t="s">
        <v>749</v>
      </c>
      <c r="C411" s="10">
        <v>3978</v>
      </c>
    </row>
    <row r="412" spans="1:3" x14ac:dyDescent="0.25">
      <c r="A412" s="10" t="s">
        <v>750</v>
      </c>
      <c r="B412" s="10" t="s">
        <v>751</v>
      </c>
      <c r="C412" s="10">
        <v>3448</v>
      </c>
    </row>
    <row r="413" spans="1:3" x14ac:dyDescent="0.25">
      <c r="A413" s="10" t="s">
        <v>752</v>
      </c>
      <c r="B413" s="10"/>
      <c r="C413" s="10">
        <v>196930</v>
      </c>
    </row>
    <row r="414" spans="1:3" x14ac:dyDescent="0.25">
      <c r="A414" s="10" t="s">
        <v>753</v>
      </c>
      <c r="B414" s="10" t="s">
        <v>754</v>
      </c>
      <c r="C414" s="10">
        <v>836253</v>
      </c>
    </row>
    <row r="415" spans="1:3" x14ac:dyDescent="0.25">
      <c r="A415" s="10" t="s">
        <v>755</v>
      </c>
      <c r="B415" s="10" t="s">
        <v>756</v>
      </c>
      <c r="C415" s="10">
        <v>199318</v>
      </c>
    </row>
    <row r="416" spans="1:3" x14ac:dyDescent="0.25">
      <c r="A416" s="10" t="s">
        <v>757</v>
      </c>
      <c r="B416" s="10" t="s">
        <v>758</v>
      </c>
      <c r="C416" s="10">
        <v>1027</v>
      </c>
    </row>
    <row r="417" spans="1:3" x14ac:dyDescent="0.25">
      <c r="A417" s="10" t="s">
        <v>759</v>
      </c>
      <c r="B417" s="10" t="s">
        <v>760</v>
      </c>
      <c r="C417" s="10">
        <v>1031</v>
      </c>
    </row>
    <row r="418" spans="1:3" x14ac:dyDescent="0.25">
      <c r="A418" s="10" t="s">
        <v>761</v>
      </c>
      <c r="B418" s="10" t="s">
        <v>762</v>
      </c>
      <c r="C418" s="10">
        <v>4488</v>
      </c>
    </row>
    <row r="419" spans="1:3" x14ac:dyDescent="0.25">
      <c r="A419" s="10" t="s">
        <v>763</v>
      </c>
      <c r="B419" s="10" t="s">
        <v>764</v>
      </c>
      <c r="C419" s="10">
        <v>4619</v>
      </c>
    </row>
    <row r="420" spans="1:3" x14ac:dyDescent="0.25">
      <c r="A420" s="10" t="s">
        <v>765</v>
      </c>
      <c r="B420" s="10" t="s">
        <v>766</v>
      </c>
      <c r="C420" s="10">
        <v>3036</v>
      </c>
    </row>
    <row r="421" spans="1:3" x14ac:dyDescent="0.25">
      <c r="A421" s="10" t="s">
        <v>767</v>
      </c>
      <c r="B421" s="10" t="s">
        <v>768</v>
      </c>
      <c r="C421" s="10">
        <v>3116</v>
      </c>
    </row>
    <row r="422" spans="1:3" x14ac:dyDescent="0.25">
      <c r="A422" s="10" t="s">
        <v>769</v>
      </c>
      <c r="B422" s="10" t="s">
        <v>770</v>
      </c>
      <c r="C422" s="10">
        <v>459638</v>
      </c>
    </row>
    <row r="423" spans="1:3" x14ac:dyDescent="0.25">
      <c r="A423" s="10" t="s">
        <v>771</v>
      </c>
      <c r="B423" s="10" t="s">
        <v>772</v>
      </c>
      <c r="C423" s="10">
        <v>4308</v>
      </c>
    </row>
    <row r="424" spans="1:3" x14ac:dyDescent="0.25">
      <c r="A424" s="10" t="s">
        <v>773</v>
      </c>
      <c r="B424" s="10" t="s">
        <v>774</v>
      </c>
      <c r="C424" s="10">
        <v>3798</v>
      </c>
    </row>
    <row r="425" spans="1:3" x14ac:dyDescent="0.25">
      <c r="A425" s="10" t="s">
        <v>775</v>
      </c>
      <c r="B425" s="10" t="s">
        <v>776</v>
      </c>
      <c r="C425" s="10">
        <v>3688</v>
      </c>
    </row>
    <row r="426" spans="1:3" x14ac:dyDescent="0.25">
      <c r="A426" s="10" t="s">
        <v>777</v>
      </c>
      <c r="B426" s="10" t="s">
        <v>778</v>
      </c>
      <c r="C426" s="10">
        <v>3318</v>
      </c>
    </row>
    <row r="427" spans="1:3" x14ac:dyDescent="0.25">
      <c r="A427" s="10" t="s">
        <v>779</v>
      </c>
      <c r="B427" s="10" t="s">
        <v>780</v>
      </c>
      <c r="C427" s="10">
        <v>836856</v>
      </c>
    </row>
    <row r="428" spans="1:3" x14ac:dyDescent="0.25">
      <c r="A428" s="10" t="s">
        <v>781</v>
      </c>
      <c r="B428" s="10" t="s">
        <v>782</v>
      </c>
      <c r="C428" s="10">
        <v>4049</v>
      </c>
    </row>
    <row r="429" spans="1:3" x14ac:dyDescent="0.25">
      <c r="A429" s="10" t="s">
        <v>1067</v>
      </c>
      <c r="B429" s="10" t="s">
        <v>783</v>
      </c>
      <c r="C429" s="10">
        <v>199425</v>
      </c>
    </row>
    <row r="430" spans="1:3" x14ac:dyDescent="0.25">
      <c r="A430" s="10" t="s">
        <v>784</v>
      </c>
      <c r="B430" s="10" t="s">
        <v>785</v>
      </c>
      <c r="C430" s="10">
        <v>186010</v>
      </c>
    </row>
    <row r="431" spans="1:3" x14ac:dyDescent="0.25">
      <c r="A431" s="10" t="s">
        <v>786</v>
      </c>
      <c r="B431" s="10" t="s">
        <v>787</v>
      </c>
      <c r="C431" s="10">
        <v>2559</v>
      </c>
    </row>
    <row r="432" spans="1:3" x14ac:dyDescent="0.25">
      <c r="A432" s="10" t="s">
        <v>788</v>
      </c>
      <c r="B432" s="10" t="s">
        <v>789</v>
      </c>
      <c r="C432" s="10">
        <v>4571</v>
      </c>
    </row>
    <row r="433" spans="1:3" x14ac:dyDescent="0.25">
      <c r="A433" s="10" t="s">
        <v>1068</v>
      </c>
      <c r="B433" s="10" t="s">
        <v>1069</v>
      </c>
      <c r="C433" s="10">
        <v>627671</v>
      </c>
    </row>
    <row r="434" spans="1:3" x14ac:dyDescent="0.25">
      <c r="A434" s="10" t="s">
        <v>790</v>
      </c>
      <c r="B434" s="10" t="s">
        <v>791</v>
      </c>
      <c r="C434" s="10">
        <v>836226</v>
      </c>
    </row>
    <row r="435" spans="1:3" x14ac:dyDescent="0.25">
      <c r="A435" s="10" t="s">
        <v>792</v>
      </c>
      <c r="B435" s="10" t="s">
        <v>793</v>
      </c>
      <c r="C435" s="10">
        <v>3774</v>
      </c>
    </row>
    <row r="436" spans="1:3" x14ac:dyDescent="0.25">
      <c r="A436" s="10" t="s">
        <v>794</v>
      </c>
      <c r="B436" s="10" t="s">
        <v>795</v>
      </c>
      <c r="C436" s="10">
        <v>2005</v>
      </c>
    </row>
    <row r="437" spans="1:3" x14ac:dyDescent="0.25">
      <c r="A437" s="10" t="s">
        <v>1070</v>
      </c>
      <c r="B437" s="10" t="s">
        <v>89</v>
      </c>
      <c r="C437" s="10">
        <v>1972</v>
      </c>
    </row>
    <row r="438" spans="1:3" x14ac:dyDescent="0.25">
      <c r="A438" s="10" t="s">
        <v>1071</v>
      </c>
      <c r="B438" s="10" t="s">
        <v>95</v>
      </c>
      <c r="C438" s="10">
        <v>813480</v>
      </c>
    </row>
    <row r="439" spans="1:3" x14ac:dyDescent="0.25">
      <c r="A439" s="10" t="s">
        <v>1072</v>
      </c>
      <c r="B439" s="10" t="s">
        <v>96</v>
      </c>
      <c r="C439" s="10">
        <v>836223</v>
      </c>
    </row>
    <row r="440" spans="1:3" x14ac:dyDescent="0.25">
      <c r="A440" s="10" t="s">
        <v>1073</v>
      </c>
      <c r="B440" s="10"/>
      <c r="C440" s="10">
        <v>836222</v>
      </c>
    </row>
    <row r="441" spans="1:3" x14ac:dyDescent="0.25">
      <c r="A441" s="10" t="s">
        <v>1074</v>
      </c>
      <c r="B441" s="10" t="s">
        <v>101</v>
      </c>
      <c r="C441" s="10">
        <v>895878</v>
      </c>
    </row>
    <row r="442" spans="1:3" x14ac:dyDescent="0.25">
      <c r="A442" s="10" t="s">
        <v>1075</v>
      </c>
      <c r="B442" s="10" t="s">
        <v>263</v>
      </c>
      <c r="C442" s="10">
        <v>889056</v>
      </c>
    </row>
    <row r="443" spans="1:3" x14ac:dyDescent="0.25">
      <c r="A443" s="10" t="s">
        <v>796</v>
      </c>
      <c r="B443" s="10" t="s">
        <v>797</v>
      </c>
      <c r="C443" s="10">
        <v>3249</v>
      </c>
    </row>
    <row r="444" spans="1:3" x14ac:dyDescent="0.25">
      <c r="A444" s="10" t="s">
        <v>798</v>
      </c>
      <c r="B444" s="10" t="s">
        <v>799</v>
      </c>
      <c r="C444" s="10">
        <v>186012</v>
      </c>
    </row>
    <row r="445" spans="1:3" x14ac:dyDescent="0.25">
      <c r="A445" s="10" t="s">
        <v>800</v>
      </c>
      <c r="B445" s="10"/>
      <c r="C445" s="10">
        <v>197981</v>
      </c>
    </row>
    <row r="446" spans="1:3" x14ac:dyDescent="0.25">
      <c r="A446" s="10" t="s">
        <v>801</v>
      </c>
      <c r="B446" s="10" t="s">
        <v>802</v>
      </c>
      <c r="C446" s="10">
        <v>3261</v>
      </c>
    </row>
    <row r="447" spans="1:3" x14ac:dyDescent="0.25">
      <c r="A447" s="10" t="s">
        <v>803</v>
      </c>
      <c r="B447" s="10" t="s">
        <v>804</v>
      </c>
      <c r="C447" s="10">
        <v>3258</v>
      </c>
    </row>
    <row r="448" spans="1:3" x14ac:dyDescent="0.25">
      <c r="A448" s="10" t="s">
        <v>805</v>
      </c>
      <c r="B448" s="10" t="s">
        <v>806</v>
      </c>
      <c r="C448" s="10">
        <v>3255</v>
      </c>
    </row>
    <row r="449" spans="1:3" x14ac:dyDescent="0.25">
      <c r="A449" s="10" t="s">
        <v>1076</v>
      </c>
      <c r="B449" s="10" t="s">
        <v>266</v>
      </c>
      <c r="C449" s="10">
        <v>3263</v>
      </c>
    </row>
    <row r="450" spans="1:3" x14ac:dyDescent="0.25">
      <c r="A450" s="10" t="s">
        <v>809</v>
      </c>
      <c r="B450" s="10" t="s">
        <v>810</v>
      </c>
      <c r="C450" s="10">
        <v>3364</v>
      </c>
    </row>
    <row r="451" spans="1:3" x14ac:dyDescent="0.25">
      <c r="A451" s="10" t="s">
        <v>811</v>
      </c>
      <c r="B451" s="10" t="s">
        <v>812</v>
      </c>
      <c r="C451" s="10">
        <v>199377</v>
      </c>
    </row>
    <row r="452" spans="1:3" x14ac:dyDescent="0.25">
      <c r="A452" s="10" t="s">
        <v>814</v>
      </c>
      <c r="B452" s="10" t="s">
        <v>815</v>
      </c>
      <c r="C452" s="10">
        <v>3343</v>
      </c>
    </row>
    <row r="453" spans="1:3" x14ac:dyDescent="0.25">
      <c r="A453" s="10" t="s">
        <v>816</v>
      </c>
      <c r="B453" s="10"/>
      <c r="C453" s="10">
        <v>197989</v>
      </c>
    </row>
    <row r="454" spans="1:3" x14ac:dyDescent="0.25">
      <c r="A454" s="10" t="s">
        <v>817</v>
      </c>
      <c r="B454" s="10" t="s">
        <v>818</v>
      </c>
      <c r="C454" s="10">
        <v>3345</v>
      </c>
    </row>
    <row r="455" spans="1:3" x14ac:dyDescent="0.25">
      <c r="A455" s="10" t="s">
        <v>819</v>
      </c>
      <c r="B455" s="10" t="s">
        <v>820</v>
      </c>
      <c r="C455" s="10">
        <v>3352</v>
      </c>
    </row>
    <row r="456" spans="1:3" x14ac:dyDescent="0.25">
      <c r="A456" s="10" t="s">
        <v>821</v>
      </c>
      <c r="B456" s="10" t="s">
        <v>822</v>
      </c>
      <c r="C456" s="10">
        <v>3429</v>
      </c>
    </row>
    <row r="457" spans="1:3" x14ac:dyDescent="0.25">
      <c r="A457" s="10" t="s">
        <v>823</v>
      </c>
      <c r="B457" s="10" t="s">
        <v>824</v>
      </c>
      <c r="C457" s="10">
        <v>3432</v>
      </c>
    </row>
    <row r="458" spans="1:3" x14ac:dyDescent="0.25">
      <c r="A458" s="10" t="s">
        <v>825</v>
      </c>
      <c r="B458" s="10" t="s">
        <v>826</v>
      </c>
      <c r="C458" s="10">
        <v>3439</v>
      </c>
    </row>
    <row r="459" spans="1:3" x14ac:dyDescent="0.25">
      <c r="A459" s="10" t="s">
        <v>827</v>
      </c>
      <c r="B459" s="10" t="s">
        <v>828</v>
      </c>
      <c r="C459" s="10">
        <v>3518</v>
      </c>
    </row>
    <row r="460" spans="1:3" x14ac:dyDescent="0.25">
      <c r="A460" s="10" t="s">
        <v>829</v>
      </c>
      <c r="B460" s="10" t="s">
        <v>830</v>
      </c>
      <c r="C460" s="10">
        <v>4518</v>
      </c>
    </row>
    <row r="461" spans="1:3" x14ac:dyDescent="0.25">
      <c r="A461" s="10" t="s">
        <v>831</v>
      </c>
      <c r="B461" s="10" t="s">
        <v>832</v>
      </c>
      <c r="C461" s="10">
        <v>4516</v>
      </c>
    </row>
    <row r="462" spans="1:3" x14ac:dyDescent="0.25">
      <c r="A462" s="10" t="s">
        <v>833</v>
      </c>
      <c r="B462" s="10" t="s">
        <v>834</v>
      </c>
      <c r="C462" s="10">
        <v>199321</v>
      </c>
    </row>
    <row r="463" spans="1:3" x14ac:dyDescent="0.25">
      <c r="A463" s="10" t="s">
        <v>1077</v>
      </c>
      <c r="B463" s="10"/>
      <c r="C463" s="10">
        <v>933298</v>
      </c>
    </row>
    <row r="464" spans="1:3" x14ac:dyDescent="0.25">
      <c r="A464" s="10" t="s">
        <v>835</v>
      </c>
      <c r="B464" s="10" t="s">
        <v>836</v>
      </c>
      <c r="C464" s="10">
        <v>440197</v>
      </c>
    </row>
    <row r="465" spans="1:3" x14ac:dyDescent="0.25">
      <c r="A465" s="10" t="s">
        <v>837</v>
      </c>
      <c r="B465" s="10" t="s">
        <v>838</v>
      </c>
      <c r="C465" s="10">
        <v>4257</v>
      </c>
    </row>
    <row r="466" spans="1:3" x14ac:dyDescent="0.25">
      <c r="A466" s="10" t="s">
        <v>839</v>
      </c>
      <c r="B466" s="10" t="s">
        <v>840</v>
      </c>
      <c r="C466" s="10">
        <v>4254</v>
      </c>
    </row>
    <row r="467" spans="1:3" x14ac:dyDescent="0.25">
      <c r="A467" s="10" t="s">
        <v>841</v>
      </c>
      <c r="B467" s="10" t="s">
        <v>842</v>
      </c>
      <c r="C467" s="10">
        <v>4252</v>
      </c>
    </row>
    <row r="468" spans="1:3" x14ac:dyDescent="0.25">
      <c r="A468" s="10" t="s">
        <v>843</v>
      </c>
      <c r="B468" s="10" t="s">
        <v>844</v>
      </c>
      <c r="C468" s="10">
        <v>4247</v>
      </c>
    </row>
    <row r="469" spans="1:3" x14ac:dyDescent="0.25">
      <c r="A469" s="10" t="s">
        <v>845</v>
      </c>
      <c r="B469" s="10" t="s">
        <v>846</v>
      </c>
      <c r="C469" s="10">
        <v>4245</v>
      </c>
    </row>
    <row r="470" spans="1:3" x14ac:dyDescent="0.25">
      <c r="A470" s="10" t="s">
        <v>847</v>
      </c>
      <c r="B470" s="10" t="s">
        <v>848</v>
      </c>
      <c r="C470" s="10">
        <v>4221</v>
      </c>
    </row>
    <row r="471" spans="1:3" x14ac:dyDescent="0.25">
      <c r="A471" s="10" t="s">
        <v>849</v>
      </c>
      <c r="B471" s="10" t="s">
        <v>850</v>
      </c>
      <c r="C471" s="10">
        <v>3000</v>
      </c>
    </row>
    <row r="472" spans="1:3" x14ac:dyDescent="0.25">
      <c r="A472" s="10" t="s">
        <v>851</v>
      </c>
      <c r="B472" s="10" t="s">
        <v>852</v>
      </c>
      <c r="C472" s="10">
        <v>418701</v>
      </c>
    </row>
    <row r="473" spans="1:3" x14ac:dyDescent="0.25">
      <c r="A473" s="10" t="s">
        <v>853</v>
      </c>
      <c r="B473" s="10" t="s">
        <v>854</v>
      </c>
      <c r="C473" s="10">
        <v>977</v>
      </c>
    </row>
    <row r="474" spans="1:3" x14ac:dyDescent="0.25">
      <c r="A474" s="10" t="s">
        <v>855</v>
      </c>
      <c r="B474" s="10" t="s">
        <v>856</v>
      </c>
      <c r="C474" s="10">
        <v>3561</v>
      </c>
    </row>
    <row r="475" spans="1:3" x14ac:dyDescent="0.25">
      <c r="A475" s="10" t="s">
        <v>857</v>
      </c>
      <c r="B475" s="10" t="s">
        <v>858</v>
      </c>
      <c r="C475" s="10">
        <v>2770</v>
      </c>
    </row>
    <row r="476" spans="1:3" x14ac:dyDescent="0.25">
      <c r="A476" s="10" t="s">
        <v>859</v>
      </c>
      <c r="B476" s="10" t="s">
        <v>860</v>
      </c>
      <c r="C476" s="10">
        <v>2767</v>
      </c>
    </row>
    <row r="477" spans="1:3" x14ac:dyDescent="0.25">
      <c r="A477" s="10" t="s">
        <v>1078</v>
      </c>
      <c r="B477" s="10"/>
      <c r="C477" s="10">
        <v>933150</v>
      </c>
    </row>
    <row r="478" spans="1:3" x14ac:dyDescent="0.25">
      <c r="A478" s="10" t="s">
        <v>861</v>
      </c>
      <c r="B478" s="10" t="s">
        <v>862</v>
      </c>
      <c r="C478" s="10">
        <v>3089</v>
      </c>
    </row>
    <row r="479" spans="1:3" x14ac:dyDescent="0.25">
      <c r="A479" s="10" t="s">
        <v>863</v>
      </c>
      <c r="B479" s="10" t="s">
        <v>864</v>
      </c>
      <c r="C479" s="10">
        <v>3359</v>
      </c>
    </row>
    <row r="480" spans="1:3" x14ac:dyDescent="0.25">
      <c r="A480" s="10" t="s">
        <v>865</v>
      </c>
      <c r="B480" s="10" t="s">
        <v>866</v>
      </c>
      <c r="C480" s="10">
        <v>3356</v>
      </c>
    </row>
    <row r="481" spans="1:3" x14ac:dyDescent="0.25">
      <c r="A481" s="10" t="s">
        <v>1079</v>
      </c>
      <c r="B481" s="10" t="s">
        <v>807</v>
      </c>
      <c r="C481" s="10">
        <v>626903</v>
      </c>
    </row>
    <row r="482" spans="1:3" x14ac:dyDescent="0.25">
      <c r="A482" s="10" t="s">
        <v>867</v>
      </c>
      <c r="B482" s="10" t="s">
        <v>868</v>
      </c>
      <c r="C482" s="10">
        <v>3362</v>
      </c>
    </row>
    <row r="483" spans="1:3" x14ac:dyDescent="0.25">
      <c r="A483" s="10" t="s">
        <v>869</v>
      </c>
      <c r="B483" s="10" t="s">
        <v>870</v>
      </c>
      <c r="C483" s="10">
        <v>2687</v>
      </c>
    </row>
    <row r="484" spans="1:3" x14ac:dyDescent="0.25">
      <c r="A484" s="10" t="s">
        <v>871</v>
      </c>
      <c r="B484" s="10" t="s">
        <v>872</v>
      </c>
      <c r="C484" s="10">
        <v>3780</v>
      </c>
    </row>
    <row r="485" spans="1:3" x14ac:dyDescent="0.25">
      <c r="A485" s="10" t="s">
        <v>873</v>
      </c>
      <c r="B485" s="10" t="s">
        <v>874</v>
      </c>
      <c r="C485" s="10">
        <v>2584</v>
      </c>
    </row>
    <row r="486" spans="1:3" x14ac:dyDescent="0.25">
      <c r="A486" s="10" t="s">
        <v>875</v>
      </c>
      <c r="B486" s="10" t="s">
        <v>1080</v>
      </c>
      <c r="C486" s="10">
        <v>2600</v>
      </c>
    </row>
    <row r="487" spans="1:3" x14ac:dyDescent="0.25">
      <c r="A487" s="10" t="s">
        <v>876</v>
      </c>
      <c r="B487" s="10" t="s">
        <v>877</v>
      </c>
      <c r="C487" s="10">
        <v>2607</v>
      </c>
    </row>
    <row r="488" spans="1:3" x14ac:dyDescent="0.25">
      <c r="A488" s="10" t="s">
        <v>878</v>
      </c>
      <c r="B488" s="10" t="s">
        <v>879</v>
      </c>
      <c r="C488" s="10">
        <v>2594</v>
      </c>
    </row>
    <row r="489" spans="1:3" x14ac:dyDescent="0.25">
      <c r="A489" s="10" t="s">
        <v>880</v>
      </c>
      <c r="B489" s="10" t="s">
        <v>881</v>
      </c>
      <c r="C489" s="10">
        <v>2603</v>
      </c>
    </row>
    <row r="490" spans="1:3" x14ac:dyDescent="0.25">
      <c r="A490" s="10" t="s">
        <v>882</v>
      </c>
      <c r="B490" s="10" t="s">
        <v>1081</v>
      </c>
      <c r="C490" s="10">
        <v>626151</v>
      </c>
    </row>
    <row r="491" spans="1:3" x14ac:dyDescent="0.25">
      <c r="A491" s="10" t="s">
        <v>883</v>
      </c>
      <c r="B491" s="10" t="s">
        <v>884</v>
      </c>
      <c r="C491" s="10">
        <v>2591</v>
      </c>
    </row>
    <row r="492" spans="1:3" x14ac:dyDescent="0.25">
      <c r="A492" s="10" t="s">
        <v>885</v>
      </c>
      <c r="B492" s="10" t="s">
        <v>886</v>
      </c>
      <c r="C492" s="10">
        <v>2586</v>
      </c>
    </row>
    <row r="493" spans="1:3" x14ac:dyDescent="0.25">
      <c r="A493" s="10" t="s">
        <v>887</v>
      </c>
      <c r="B493" s="10" t="s">
        <v>888</v>
      </c>
      <c r="C493" s="10">
        <v>3967</v>
      </c>
    </row>
    <row r="494" spans="1:3" x14ac:dyDescent="0.25">
      <c r="A494" s="10" t="s">
        <v>889</v>
      </c>
      <c r="B494" s="10" t="s">
        <v>890</v>
      </c>
      <c r="C494" s="10">
        <v>4137</v>
      </c>
    </row>
    <row r="495" spans="1:3" x14ac:dyDescent="0.25">
      <c r="A495" s="10" t="s">
        <v>891</v>
      </c>
      <c r="B495" s="10" t="s">
        <v>892</v>
      </c>
      <c r="C495" s="10">
        <v>4117</v>
      </c>
    </row>
    <row r="496" spans="1:3" x14ac:dyDescent="0.25">
      <c r="A496" s="10" t="s">
        <v>893</v>
      </c>
      <c r="B496" s="10" t="s">
        <v>894</v>
      </c>
      <c r="C496" s="10">
        <v>4129</v>
      </c>
    </row>
    <row r="497" spans="1:3" x14ac:dyDescent="0.25">
      <c r="A497" s="10" t="s">
        <v>895</v>
      </c>
      <c r="B497" s="10" t="s">
        <v>896</v>
      </c>
      <c r="C497" s="10">
        <v>4127</v>
      </c>
    </row>
    <row r="498" spans="1:3" x14ac:dyDescent="0.25">
      <c r="A498" s="10" t="s">
        <v>897</v>
      </c>
      <c r="B498" s="10" t="s">
        <v>898</v>
      </c>
      <c r="C498" s="10">
        <v>4112</v>
      </c>
    </row>
    <row r="499" spans="1:3" x14ac:dyDescent="0.25">
      <c r="A499" s="10" t="s">
        <v>899</v>
      </c>
      <c r="B499" s="10" t="s">
        <v>900</v>
      </c>
      <c r="C499" s="10">
        <v>4142</v>
      </c>
    </row>
    <row r="500" spans="1:3" x14ac:dyDescent="0.25">
      <c r="A500" s="10" t="s">
        <v>901</v>
      </c>
      <c r="B500" s="10" t="s">
        <v>902</v>
      </c>
      <c r="C500" s="10">
        <v>728079</v>
      </c>
    </row>
    <row r="501" spans="1:3" x14ac:dyDescent="0.25">
      <c r="A501" s="10" t="s">
        <v>903</v>
      </c>
      <c r="B501" s="10" t="s">
        <v>904</v>
      </c>
      <c r="C501" s="10">
        <v>432737</v>
      </c>
    </row>
    <row r="502" spans="1:3" x14ac:dyDescent="0.25">
      <c r="A502" s="10" t="s">
        <v>905</v>
      </c>
      <c r="B502" s="10" t="s">
        <v>906</v>
      </c>
      <c r="C502" s="10">
        <v>3482</v>
      </c>
    </row>
    <row r="503" spans="1:3" x14ac:dyDescent="0.25">
      <c r="A503" s="10" t="s">
        <v>907</v>
      </c>
      <c r="B503" s="10" t="s">
        <v>908</v>
      </c>
      <c r="C503" s="10">
        <v>3590</v>
      </c>
    </row>
    <row r="504" spans="1:3" x14ac:dyDescent="0.25">
      <c r="A504" s="10" t="s">
        <v>909</v>
      </c>
      <c r="B504" s="10" t="s">
        <v>910</v>
      </c>
      <c r="C504" s="10">
        <v>3379</v>
      </c>
    </row>
    <row r="505" spans="1:3" x14ac:dyDescent="0.25">
      <c r="A505" s="10" t="s">
        <v>1082</v>
      </c>
      <c r="B505" s="10" t="s">
        <v>289</v>
      </c>
      <c r="C505" s="10">
        <v>3181</v>
      </c>
    </row>
    <row r="506" spans="1:3" x14ac:dyDescent="0.25">
      <c r="A506" s="10" t="s">
        <v>911</v>
      </c>
      <c r="B506" s="10" t="s">
        <v>912</v>
      </c>
      <c r="C506" s="10">
        <v>3187</v>
      </c>
    </row>
    <row r="507" spans="1:3" x14ac:dyDescent="0.25">
      <c r="A507" s="10" t="s">
        <v>913</v>
      </c>
      <c r="B507" s="10" t="s">
        <v>914</v>
      </c>
      <c r="C507" s="10">
        <v>364251</v>
      </c>
    </row>
    <row r="508" spans="1:3" x14ac:dyDescent="0.25">
      <c r="A508" s="10" t="s">
        <v>915</v>
      </c>
      <c r="B508" s="10" t="s">
        <v>916</v>
      </c>
      <c r="C508" s="10">
        <v>2610</v>
      </c>
    </row>
    <row r="509" spans="1:3" x14ac:dyDescent="0.25">
      <c r="A509" s="10" t="s">
        <v>917</v>
      </c>
      <c r="B509" s="10" t="s">
        <v>918</v>
      </c>
      <c r="C509" s="10">
        <v>836245</v>
      </c>
    </row>
    <row r="510" spans="1:3" x14ac:dyDescent="0.25">
      <c r="A510" s="10" t="s">
        <v>1083</v>
      </c>
      <c r="B510" s="10" t="s">
        <v>744</v>
      </c>
      <c r="C510" s="10">
        <v>836246</v>
      </c>
    </row>
    <row r="511" spans="1:3" x14ac:dyDescent="0.25">
      <c r="A511" s="10" t="s">
        <v>919</v>
      </c>
      <c r="B511" s="10" t="s">
        <v>920</v>
      </c>
      <c r="C511" s="10">
        <v>199434</v>
      </c>
    </row>
    <row r="512" spans="1:3" x14ac:dyDescent="0.25">
      <c r="A512" s="10"/>
      <c r="B512" s="10"/>
      <c r="C512" s="10"/>
    </row>
    <row r="513" spans="1:3" x14ac:dyDescent="0.25">
      <c r="A513" s="10"/>
      <c r="B513" s="10"/>
      <c r="C513" s="10"/>
    </row>
    <row r="514" spans="1:3" x14ac:dyDescent="0.25">
      <c r="A514" s="10"/>
      <c r="B514" s="10"/>
      <c r="C514" s="10"/>
    </row>
    <row r="515" spans="1:3" x14ac:dyDescent="0.25">
      <c r="A515" s="10"/>
      <c r="B515" s="10"/>
      <c r="C515" s="10"/>
    </row>
    <row r="516" spans="1:3" x14ac:dyDescent="0.25">
      <c r="A516" s="10"/>
      <c r="B516" s="10"/>
      <c r="C516" s="10"/>
    </row>
    <row r="517" spans="1:3" x14ac:dyDescent="0.25">
      <c r="A517" s="10"/>
      <c r="B517" s="10"/>
      <c r="C517" s="10"/>
    </row>
    <row r="518" spans="1:3" x14ac:dyDescent="0.25">
      <c r="A518" s="10"/>
      <c r="B518" s="10"/>
      <c r="C518" s="10"/>
    </row>
    <row r="519" spans="1:3" x14ac:dyDescent="0.25">
      <c r="A519" s="10"/>
      <c r="B519" s="10"/>
      <c r="C519" s="10"/>
    </row>
    <row r="520" spans="1:3" x14ac:dyDescent="0.25">
      <c r="A520" s="10"/>
      <c r="B520" s="10"/>
      <c r="C520" s="10"/>
    </row>
    <row r="521" spans="1:3" x14ac:dyDescent="0.25">
      <c r="A521" s="10"/>
      <c r="B521" s="10"/>
      <c r="C521" s="10"/>
    </row>
    <row r="522" spans="1:3" x14ac:dyDescent="0.25">
      <c r="A522" s="10"/>
      <c r="B522" s="10"/>
      <c r="C522" s="10"/>
    </row>
    <row r="523" spans="1:3" x14ac:dyDescent="0.25">
      <c r="A523" s="10"/>
      <c r="B523" s="10"/>
      <c r="C523" s="10"/>
    </row>
    <row r="524" spans="1:3" x14ac:dyDescent="0.25">
      <c r="A524" s="10"/>
      <c r="B524" s="10"/>
      <c r="C524" s="10"/>
    </row>
    <row r="525" spans="1:3" x14ac:dyDescent="0.25">
      <c r="A525" s="10"/>
      <c r="B525" s="10"/>
      <c r="C525" s="10"/>
    </row>
    <row r="526" spans="1:3" x14ac:dyDescent="0.25">
      <c r="A526" s="10"/>
      <c r="B526" s="10"/>
      <c r="C526" s="10"/>
    </row>
    <row r="527" spans="1:3" x14ac:dyDescent="0.25">
      <c r="A527" s="10"/>
      <c r="B527" s="10"/>
      <c r="C527" s="10"/>
    </row>
    <row r="528" spans="1:3" x14ac:dyDescent="0.25">
      <c r="A528" s="10"/>
      <c r="B528" s="10"/>
      <c r="C528" s="10"/>
    </row>
    <row r="529" spans="1:3" x14ac:dyDescent="0.25">
      <c r="A529" s="10"/>
      <c r="B529" s="10"/>
      <c r="C529" s="10"/>
    </row>
    <row r="530" spans="1:3" x14ac:dyDescent="0.25">
      <c r="A530" s="10"/>
      <c r="B530" s="10"/>
      <c r="C530" s="10"/>
    </row>
    <row r="531" spans="1:3" x14ac:dyDescent="0.25">
      <c r="A531" s="10"/>
      <c r="B531" s="10"/>
      <c r="C531" s="10"/>
    </row>
    <row r="532" spans="1:3" x14ac:dyDescent="0.25">
      <c r="A532" s="10"/>
      <c r="B532" s="10"/>
      <c r="C532" s="10"/>
    </row>
    <row r="533" spans="1:3" x14ac:dyDescent="0.25">
      <c r="A533" s="10"/>
      <c r="B533" s="10"/>
      <c r="C533" s="10"/>
    </row>
    <row r="534" spans="1:3" x14ac:dyDescent="0.25">
      <c r="A534" s="10"/>
      <c r="B534" s="10"/>
      <c r="C534" s="10"/>
    </row>
    <row r="535" spans="1:3" x14ac:dyDescent="0.25">
      <c r="A535" s="10"/>
      <c r="B535" s="10"/>
      <c r="C535" s="10"/>
    </row>
    <row r="536" spans="1:3" x14ac:dyDescent="0.25">
      <c r="A536" s="10"/>
      <c r="B536" s="10"/>
      <c r="C536" s="10"/>
    </row>
    <row r="537" spans="1:3" x14ac:dyDescent="0.25">
      <c r="A537" s="10"/>
      <c r="B537" s="10"/>
      <c r="C537" s="10"/>
    </row>
    <row r="538" spans="1:3" x14ac:dyDescent="0.25">
      <c r="A538" s="10"/>
      <c r="B538" s="10"/>
      <c r="C538" s="10"/>
    </row>
    <row r="539" spans="1:3" x14ac:dyDescent="0.25">
      <c r="A539" s="10"/>
      <c r="B539" s="10"/>
      <c r="C539" s="10"/>
    </row>
    <row r="540" spans="1:3" x14ac:dyDescent="0.25">
      <c r="A540" s="10"/>
      <c r="B540" s="10"/>
      <c r="C540" s="10"/>
    </row>
    <row r="541" spans="1:3" x14ac:dyDescent="0.25">
      <c r="A541" s="10"/>
      <c r="B541" s="10"/>
      <c r="C541" s="10"/>
    </row>
    <row r="542" spans="1:3" x14ac:dyDescent="0.25">
      <c r="A542" s="10"/>
      <c r="B542" s="10"/>
      <c r="C542" s="10"/>
    </row>
    <row r="543" spans="1:3" x14ac:dyDescent="0.25">
      <c r="A543" s="10"/>
      <c r="B543" s="10"/>
      <c r="C543" s="10"/>
    </row>
    <row r="544" spans="1:3" x14ac:dyDescent="0.25">
      <c r="A544" s="10"/>
      <c r="B544" s="10"/>
      <c r="C544" s="10"/>
    </row>
    <row r="545" spans="1:3" x14ac:dyDescent="0.25">
      <c r="A545" s="10"/>
      <c r="B545" s="10"/>
      <c r="C545" s="10"/>
    </row>
    <row r="546" spans="1:3" x14ac:dyDescent="0.25">
      <c r="A546" s="10"/>
      <c r="B546" s="10"/>
      <c r="C546" s="10"/>
    </row>
    <row r="547" spans="1:3" x14ac:dyDescent="0.25">
      <c r="A547" s="10"/>
      <c r="B547" s="10"/>
      <c r="C547" s="10"/>
    </row>
    <row r="548" spans="1:3" x14ac:dyDescent="0.25">
      <c r="A548" s="10"/>
      <c r="B548" s="10"/>
      <c r="C548" s="10"/>
    </row>
    <row r="549" spans="1:3" x14ac:dyDescent="0.25">
      <c r="A549" s="10"/>
      <c r="B549" s="10"/>
      <c r="C549" s="10"/>
    </row>
    <row r="550" spans="1:3" x14ac:dyDescent="0.25">
      <c r="A550" s="10"/>
      <c r="B550" s="10"/>
      <c r="C550" s="10"/>
    </row>
    <row r="551" spans="1:3" x14ac:dyDescent="0.25">
      <c r="A551" s="10"/>
      <c r="B551" s="10"/>
      <c r="C551" s="10"/>
    </row>
    <row r="552" spans="1:3" x14ac:dyDescent="0.25">
      <c r="A552" s="10"/>
      <c r="B552" s="10"/>
      <c r="C552" s="10"/>
    </row>
    <row r="553" spans="1:3" x14ac:dyDescent="0.25">
      <c r="A553" s="10"/>
      <c r="B553" s="10"/>
      <c r="C553" s="10"/>
    </row>
    <row r="554" spans="1:3" x14ac:dyDescent="0.25">
      <c r="A554" s="10"/>
      <c r="B554" s="10"/>
      <c r="C554" s="10"/>
    </row>
    <row r="555" spans="1:3" x14ac:dyDescent="0.25">
      <c r="A555" s="10"/>
      <c r="B555" s="10"/>
      <c r="C555" s="10"/>
    </row>
    <row r="556" spans="1:3" x14ac:dyDescent="0.25">
      <c r="A556" s="10"/>
      <c r="B556" s="10"/>
      <c r="C556" s="10"/>
    </row>
    <row r="557" spans="1:3" x14ac:dyDescent="0.25">
      <c r="A557" s="10"/>
      <c r="B557" s="10"/>
      <c r="C557" s="10"/>
    </row>
    <row r="558" spans="1:3" x14ac:dyDescent="0.25">
      <c r="A558" s="10"/>
      <c r="B558" s="10"/>
      <c r="C558" s="10"/>
    </row>
    <row r="559" spans="1:3" x14ac:dyDescent="0.25">
      <c r="A559" s="10"/>
      <c r="B559" s="10"/>
      <c r="C559" s="10"/>
    </row>
    <row r="560" spans="1:3" x14ac:dyDescent="0.25">
      <c r="A560" s="10"/>
      <c r="B560" s="10"/>
      <c r="C560" s="10"/>
    </row>
    <row r="561" spans="1:3" x14ac:dyDescent="0.25">
      <c r="A561" s="10"/>
      <c r="B561" s="10"/>
      <c r="C561" s="10"/>
    </row>
    <row r="562" spans="1:3" x14ac:dyDescent="0.25">
      <c r="A562" s="10"/>
      <c r="B562" s="10"/>
      <c r="C562" s="10"/>
    </row>
    <row r="563" spans="1:3" x14ac:dyDescent="0.25">
      <c r="A563" s="10"/>
      <c r="B563" s="10"/>
      <c r="C563" s="10"/>
    </row>
    <row r="564" spans="1:3" x14ac:dyDescent="0.25">
      <c r="A564" s="10"/>
      <c r="B564" s="10"/>
      <c r="C564" s="10"/>
    </row>
    <row r="565" spans="1:3" x14ac:dyDescent="0.25">
      <c r="A565" s="10"/>
      <c r="B565" s="10"/>
      <c r="C565" s="10"/>
    </row>
    <row r="566" spans="1:3" x14ac:dyDescent="0.25">
      <c r="A566" s="10"/>
      <c r="B566" s="10"/>
      <c r="C566" s="10"/>
    </row>
    <row r="567" spans="1:3" x14ac:dyDescent="0.25">
      <c r="A567" s="10"/>
      <c r="B567" s="10"/>
      <c r="C567" s="10"/>
    </row>
    <row r="568" spans="1:3" x14ac:dyDescent="0.25">
      <c r="A568" s="10"/>
      <c r="B568" s="10"/>
      <c r="C568" s="10"/>
    </row>
    <row r="569" spans="1:3" x14ac:dyDescent="0.25">
      <c r="A569" s="10"/>
      <c r="B569" s="10"/>
      <c r="C569" s="10"/>
    </row>
    <row r="570" spans="1:3" x14ac:dyDescent="0.25">
      <c r="A570" s="10"/>
      <c r="B570" s="10"/>
      <c r="C570" s="10"/>
    </row>
    <row r="571" spans="1:3" x14ac:dyDescent="0.25">
      <c r="A571" s="10"/>
      <c r="B571" s="10"/>
      <c r="C571" s="10"/>
    </row>
    <row r="572" spans="1:3" x14ac:dyDescent="0.25">
      <c r="A572" s="10"/>
      <c r="B572" s="10"/>
      <c r="C572" s="10"/>
    </row>
    <row r="573" spans="1:3" x14ac:dyDescent="0.25">
      <c r="A573" s="10"/>
      <c r="B573" s="10"/>
      <c r="C573" s="10"/>
    </row>
    <row r="574" spans="1:3" x14ac:dyDescent="0.25">
      <c r="A574" s="10"/>
      <c r="B574" s="10"/>
      <c r="C574" s="10"/>
    </row>
    <row r="575" spans="1:3" x14ac:dyDescent="0.25">
      <c r="A575" s="10"/>
      <c r="B575" s="10"/>
      <c r="C575" s="10"/>
    </row>
    <row r="576" spans="1:3" x14ac:dyDescent="0.25">
      <c r="A576" s="10"/>
      <c r="B576" s="10"/>
      <c r="C576" s="10"/>
    </row>
    <row r="577" spans="1:3" x14ac:dyDescent="0.25">
      <c r="A577" s="10"/>
      <c r="B577" s="10"/>
      <c r="C577" s="10"/>
    </row>
    <row r="578" spans="1:3" x14ac:dyDescent="0.25">
      <c r="A578" s="10"/>
      <c r="B578" s="10"/>
      <c r="C578" s="10"/>
    </row>
    <row r="579" spans="1:3" x14ac:dyDescent="0.25">
      <c r="A579" s="10"/>
      <c r="B579" s="10"/>
      <c r="C579" s="10"/>
    </row>
    <row r="580" spans="1:3" x14ac:dyDescent="0.25">
      <c r="A580" s="10"/>
      <c r="B580" s="10"/>
      <c r="C580" s="10"/>
    </row>
    <row r="581" spans="1:3" x14ac:dyDescent="0.25">
      <c r="A581" s="10"/>
      <c r="B581" s="10"/>
      <c r="C581" s="10"/>
    </row>
    <row r="582" spans="1:3" x14ac:dyDescent="0.25">
      <c r="A582" s="10"/>
      <c r="B582" s="10"/>
      <c r="C582" s="10"/>
    </row>
    <row r="583" spans="1:3" x14ac:dyDescent="0.25">
      <c r="A583" s="10"/>
      <c r="B583" s="10"/>
      <c r="C583" s="10"/>
    </row>
    <row r="584" spans="1:3" x14ac:dyDescent="0.25">
      <c r="A584" s="10"/>
      <c r="B584" s="10"/>
      <c r="C584" s="10"/>
    </row>
    <row r="585" spans="1:3" x14ac:dyDescent="0.25">
      <c r="A585" s="10"/>
      <c r="B585" s="10"/>
      <c r="C585" s="10"/>
    </row>
    <row r="586" spans="1:3" x14ac:dyDescent="0.25">
      <c r="A586" s="10"/>
      <c r="B586" s="10"/>
      <c r="C586" s="10"/>
    </row>
    <row r="587" spans="1:3" x14ac:dyDescent="0.25">
      <c r="A587" s="10"/>
      <c r="B587" s="10"/>
      <c r="C587" s="10"/>
    </row>
    <row r="588" spans="1:3" x14ac:dyDescent="0.25">
      <c r="A588" s="10"/>
      <c r="B588" s="10"/>
      <c r="C588" s="10"/>
    </row>
    <row r="589" spans="1:3" x14ac:dyDescent="0.25">
      <c r="A589" s="10"/>
      <c r="B589" s="10"/>
      <c r="C589" s="10"/>
    </row>
    <row r="590" spans="1:3" x14ac:dyDescent="0.25">
      <c r="A590" s="10"/>
      <c r="B590" s="10"/>
      <c r="C590" s="10"/>
    </row>
    <row r="591" spans="1:3" x14ac:dyDescent="0.25">
      <c r="A591" s="10"/>
      <c r="B591" s="10"/>
      <c r="C591" s="10"/>
    </row>
    <row r="592" spans="1:3" x14ac:dyDescent="0.25">
      <c r="A592" s="10"/>
      <c r="B592" s="10"/>
      <c r="C592" s="10"/>
    </row>
    <row r="593" spans="1:3" x14ac:dyDescent="0.25">
      <c r="A593" s="10"/>
      <c r="B593" s="10"/>
      <c r="C593" s="10"/>
    </row>
    <row r="594" spans="1:3" x14ac:dyDescent="0.25">
      <c r="A594" s="10"/>
      <c r="B594" s="10"/>
      <c r="C594" s="10"/>
    </row>
    <row r="595" spans="1:3" x14ac:dyDescent="0.25">
      <c r="A595" s="10"/>
      <c r="B595" s="10"/>
      <c r="C595" s="10"/>
    </row>
    <row r="596" spans="1:3" x14ac:dyDescent="0.25">
      <c r="A596" s="10"/>
      <c r="B596" s="10"/>
      <c r="C596" s="10"/>
    </row>
    <row r="597" spans="1:3" x14ac:dyDescent="0.25">
      <c r="A597" s="10"/>
      <c r="B597" s="10"/>
      <c r="C597" s="10"/>
    </row>
    <row r="598" spans="1:3" x14ac:dyDescent="0.25">
      <c r="A598" s="10"/>
      <c r="B598" s="10"/>
      <c r="C598" s="10"/>
    </row>
    <row r="599" spans="1:3" x14ac:dyDescent="0.25">
      <c r="A599" s="10"/>
      <c r="B599" s="10"/>
      <c r="C599" s="10"/>
    </row>
    <row r="600" spans="1:3" x14ac:dyDescent="0.25">
      <c r="A600" s="10"/>
      <c r="B600" s="10"/>
      <c r="C600" s="10"/>
    </row>
    <row r="601" spans="1:3" x14ac:dyDescent="0.25">
      <c r="A601" s="10"/>
      <c r="B601" s="10"/>
      <c r="C601" s="10"/>
    </row>
    <row r="602" spans="1:3" x14ac:dyDescent="0.25">
      <c r="A602" s="10"/>
      <c r="B602" s="10"/>
      <c r="C602" s="10"/>
    </row>
    <row r="603" spans="1:3" x14ac:dyDescent="0.25">
      <c r="A603" s="10"/>
      <c r="B603" s="10"/>
      <c r="C603" s="10"/>
    </row>
    <row r="604" spans="1:3" x14ac:dyDescent="0.25">
      <c r="A604" s="10"/>
      <c r="B604" s="10"/>
      <c r="C604" s="10"/>
    </row>
    <row r="605" spans="1:3" x14ac:dyDescent="0.25">
      <c r="A605" s="10"/>
      <c r="B605" s="10"/>
      <c r="C605" s="10"/>
    </row>
    <row r="606" spans="1:3" x14ac:dyDescent="0.25">
      <c r="A606" s="10"/>
      <c r="B606" s="10"/>
      <c r="C606" s="10"/>
    </row>
    <row r="607" spans="1:3" x14ac:dyDescent="0.25">
      <c r="A607" s="10"/>
      <c r="B607" s="10"/>
      <c r="C607" s="10"/>
    </row>
    <row r="608" spans="1:3" x14ac:dyDescent="0.25">
      <c r="A608" s="10"/>
      <c r="B608" s="10"/>
      <c r="C608" s="10"/>
    </row>
    <row r="609" spans="1:3" x14ac:dyDescent="0.25">
      <c r="A609" s="10"/>
      <c r="B609" s="10"/>
      <c r="C609" s="10"/>
    </row>
    <row r="610" spans="1:3" x14ac:dyDescent="0.25">
      <c r="A610" s="10"/>
      <c r="B610" s="10"/>
      <c r="C610" s="10"/>
    </row>
    <row r="611" spans="1:3" x14ac:dyDescent="0.25">
      <c r="A611" s="10"/>
      <c r="B611" s="10"/>
      <c r="C611" s="10"/>
    </row>
    <row r="612" spans="1:3" x14ac:dyDescent="0.25">
      <c r="A612" s="10"/>
      <c r="B612" s="10"/>
      <c r="C612" s="10"/>
    </row>
    <row r="613" spans="1:3" x14ac:dyDescent="0.25">
      <c r="A613" s="10"/>
      <c r="B613" s="10"/>
      <c r="C613" s="10"/>
    </row>
    <row r="614" spans="1:3" x14ac:dyDescent="0.25">
      <c r="A614" s="10"/>
      <c r="B614" s="10"/>
      <c r="C614" s="10"/>
    </row>
    <row r="615" spans="1:3" x14ac:dyDescent="0.25">
      <c r="A615" s="10"/>
      <c r="B615" s="10"/>
      <c r="C615" s="10"/>
    </row>
    <row r="616" spans="1:3" x14ac:dyDescent="0.25">
      <c r="A616" s="10"/>
      <c r="B616" s="10"/>
      <c r="C616" s="10"/>
    </row>
    <row r="617" spans="1:3" x14ac:dyDescent="0.25">
      <c r="A617" s="10"/>
      <c r="B617" s="10"/>
      <c r="C617" s="10"/>
    </row>
    <row r="618" spans="1:3" x14ac:dyDescent="0.25">
      <c r="A618" s="10"/>
      <c r="B618" s="10"/>
      <c r="C618" s="10"/>
    </row>
    <row r="619" spans="1:3" x14ac:dyDescent="0.25">
      <c r="A619" s="10"/>
      <c r="B619" s="10"/>
      <c r="C619" s="10"/>
    </row>
    <row r="620" spans="1:3" x14ac:dyDescent="0.25">
      <c r="A620" s="10"/>
      <c r="B620" s="10"/>
      <c r="C620" s="10"/>
    </row>
    <row r="621" spans="1:3" x14ac:dyDescent="0.25">
      <c r="A621" s="10"/>
      <c r="B621" s="10"/>
      <c r="C621" s="10"/>
    </row>
    <row r="622" spans="1:3" x14ac:dyDescent="0.25">
      <c r="A622" s="10"/>
      <c r="B622" s="10"/>
      <c r="C622" s="10"/>
    </row>
    <row r="623" spans="1:3" x14ac:dyDescent="0.25">
      <c r="A623" s="10"/>
      <c r="B623" s="10"/>
      <c r="C623" s="10"/>
    </row>
    <row r="624" spans="1:3" x14ac:dyDescent="0.25">
      <c r="A624" s="10"/>
      <c r="B624" s="10"/>
      <c r="C624" s="10"/>
    </row>
    <row r="625" spans="1:3" x14ac:dyDescent="0.25">
      <c r="A625" s="10"/>
      <c r="B625" s="10"/>
      <c r="C625" s="10"/>
    </row>
    <row r="626" spans="1:3" x14ac:dyDescent="0.25">
      <c r="A626" s="10"/>
      <c r="B626" s="10"/>
      <c r="C626" s="10"/>
    </row>
    <row r="627" spans="1:3" x14ac:dyDescent="0.25">
      <c r="A627" s="10"/>
      <c r="B627" s="10"/>
      <c r="C627" s="10"/>
    </row>
    <row r="628" spans="1:3" x14ac:dyDescent="0.25">
      <c r="A628" s="10"/>
      <c r="B628" s="10"/>
      <c r="C628" s="10"/>
    </row>
    <row r="629" spans="1:3" x14ac:dyDescent="0.25">
      <c r="A629" s="10"/>
      <c r="B629" s="10"/>
      <c r="C629" s="10"/>
    </row>
    <row r="630" spans="1:3" x14ac:dyDescent="0.25">
      <c r="A630" s="10"/>
      <c r="B630" s="10"/>
      <c r="C630" s="10"/>
    </row>
    <row r="631" spans="1:3" x14ac:dyDescent="0.25">
      <c r="A631" s="10"/>
      <c r="B631" s="10"/>
      <c r="C631" s="10"/>
    </row>
    <row r="632" spans="1:3" x14ac:dyDescent="0.25">
      <c r="A632" s="10"/>
      <c r="B632" s="10"/>
      <c r="C632" s="10"/>
    </row>
    <row r="633" spans="1:3" x14ac:dyDescent="0.25">
      <c r="A633" s="10"/>
      <c r="B633" s="10"/>
      <c r="C633" s="10"/>
    </row>
    <row r="634" spans="1:3" x14ac:dyDescent="0.25">
      <c r="A634" s="10"/>
      <c r="B634" s="10"/>
      <c r="C634" s="10"/>
    </row>
    <row r="635" spans="1:3" x14ac:dyDescent="0.25">
      <c r="A635" s="10"/>
      <c r="B635" s="10"/>
      <c r="C635" s="10"/>
    </row>
    <row r="636" spans="1:3" x14ac:dyDescent="0.25">
      <c r="A636" s="10"/>
      <c r="B636" s="10"/>
      <c r="C636" s="10"/>
    </row>
    <row r="637" spans="1:3" x14ac:dyDescent="0.25">
      <c r="A637" s="10"/>
      <c r="B637" s="10"/>
      <c r="C637" s="10"/>
    </row>
    <row r="638" spans="1:3" x14ac:dyDescent="0.25">
      <c r="A638" s="10"/>
      <c r="B638" s="10"/>
      <c r="C638" s="10"/>
    </row>
    <row r="639" spans="1:3" x14ac:dyDescent="0.25">
      <c r="A639" s="10"/>
      <c r="B639" s="10"/>
      <c r="C639" s="10"/>
    </row>
    <row r="640" spans="1:3" x14ac:dyDescent="0.25">
      <c r="A640" s="10"/>
      <c r="B640" s="10"/>
      <c r="C640" s="10"/>
    </row>
    <row r="641" spans="1:3" x14ac:dyDescent="0.25">
      <c r="A641" s="10"/>
      <c r="B641" s="10"/>
      <c r="C641" s="10"/>
    </row>
    <row r="642" spans="1:3" x14ac:dyDescent="0.25">
      <c r="A642" s="10"/>
      <c r="B642" s="10"/>
      <c r="C642" s="10"/>
    </row>
    <row r="643" spans="1:3" x14ac:dyDescent="0.25">
      <c r="A643" s="10"/>
      <c r="B643" s="10"/>
      <c r="C643" s="10"/>
    </row>
    <row r="644" spans="1:3" x14ac:dyDescent="0.25">
      <c r="A644" s="10"/>
      <c r="B644" s="10"/>
      <c r="C644" s="10"/>
    </row>
    <row r="645" spans="1:3" x14ac:dyDescent="0.25">
      <c r="A645" s="10"/>
      <c r="B645" s="10"/>
      <c r="C645" s="10"/>
    </row>
    <row r="646" spans="1:3" x14ac:dyDescent="0.25">
      <c r="A646" s="10"/>
      <c r="B646" s="10"/>
      <c r="C646" s="10"/>
    </row>
    <row r="647" spans="1:3" x14ac:dyDescent="0.25">
      <c r="A647" s="10"/>
      <c r="B647" s="10"/>
      <c r="C647" s="10"/>
    </row>
    <row r="648" spans="1:3" x14ac:dyDescent="0.25">
      <c r="A648" s="10"/>
      <c r="B648" s="10"/>
      <c r="C648" s="10"/>
    </row>
    <row r="649" spans="1:3" x14ac:dyDescent="0.25">
      <c r="A649" s="10"/>
      <c r="B649" s="10"/>
      <c r="C649" s="10"/>
    </row>
    <row r="650" spans="1:3" x14ac:dyDescent="0.25">
      <c r="A650" s="10"/>
      <c r="B650" s="10"/>
      <c r="C650" s="10"/>
    </row>
    <row r="651" spans="1:3" x14ac:dyDescent="0.25">
      <c r="A651" s="10"/>
      <c r="B651" s="10"/>
      <c r="C651" s="10"/>
    </row>
    <row r="652" spans="1:3" x14ac:dyDescent="0.25">
      <c r="A652" s="10"/>
      <c r="B652" s="10"/>
      <c r="C652" s="10"/>
    </row>
    <row r="653" spans="1:3" x14ac:dyDescent="0.25">
      <c r="A653" s="10"/>
      <c r="B653" s="10"/>
      <c r="C653" s="10"/>
    </row>
    <row r="654" spans="1:3" x14ac:dyDescent="0.25">
      <c r="A654" s="10"/>
      <c r="B654" s="10"/>
      <c r="C654" s="10"/>
    </row>
    <row r="655" spans="1:3" x14ac:dyDescent="0.25">
      <c r="A655" s="10"/>
      <c r="B655" s="10"/>
      <c r="C655" s="10"/>
    </row>
    <row r="656" spans="1:3" x14ac:dyDescent="0.25">
      <c r="A656" s="10"/>
      <c r="B656" s="10"/>
      <c r="C656" s="10"/>
    </row>
    <row r="657" spans="1:3" x14ac:dyDescent="0.25">
      <c r="A657" s="10"/>
      <c r="B657" s="10"/>
      <c r="C657" s="10"/>
    </row>
    <row r="658" spans="1:3" x14ac:dyDescent="0.25">
      <c r="A658" s="10"/>
      <c r="B658" s="10"/>
      <c r="C658" s="10"/>
    </row>
    <row r="659" spans="1:3" x14ac:dyDescent="0.25">
      <c r="A659" s="10"/>
      <c r="B659" s="10"/>
      <c r="C659" s="10"/>
    </row>
    <row r="660" spans="1:3" x14ac:dyDescent="0.25">
      <c r="A660" s="10"/>
      <c r="B660" s="10"/>
      <c r="C660" s="10"/>
    </row>
    <row r="661" spans="1:3" x14ac:dyDescent="0.25">
      <c r="A661" s="10"/>
      <c r="B661" s="10"/>
      <c r="C661" s="10"/>
    </row>
    <row r="662" spans="1:3" x14ac:dyDescent="0.25">
      <c r="A662" s="10"/>
      <c r="B662" s="10"/>
      <c r="C662" s="10"/>
    </row>
    <row r="663" spans="1:3" x14ac:dyDescent="0.25">
      <c r="A663" s="10"/>
      <c r="B663" s="10"/>
      <c r="C663" s="10"/>
    </row>
    <row r="664" spans="1:3" x14ac:dyDescent="0.25">
      <c r="A664" s="10"/>
      <c r="B664" s="10"/>
      <c r="C664" s="10"/>
    </row>
    <row r="665" spans="1:3" x14ac:dyDescent="0.25">
      <c r="A665" s="10"/>
      <c r="B665" s="10"/>
      <c r="C665" s="10"/>
    </row>
    <row r="666" spans="1:3" x14ac:dyDescent="0.25">
      <c r="A666" s="10"/>
      <c r="B666" s="10"/>
      <c r="C666" s="10"/>
    </row>
    <row r="667" spans="1:3" x14ac:dyDescent="0.25">
      <c r="A667" s="10"/>
      <c r="B667" s="10"/>
      <c r="C667" s="10"/>
    </row>
    <row r="668" spans="1:3" x14ac:dyDescent="0.25">
      <c r="A668" s="10"/>
      <c r="B668" s="10"/>
      <c r="C668" s="10"/>
    </row>
    <row r="669" spans="1:3" x14ac:dyDescent="0.25">
      <c r="A669" s="10"/>
      <c r="B669" s="10"/>
      <c r="C669" s="10"/>
    </row>
    <row r="670" spans="1:3" x14ac:dyDescent="0.25">
      <c r="A670" s="10"/>
      <c r="B670" s="10"/>
      <c r="C670" s="10"/>
    </row>
    <row r="671" spans="1:3" x14ac:dyDescent="0.25">
      <c r="A671" s="10"/>
      <c r="B671" s="10"/>
      <c r="C671" s="10"/>
    </row>
    <row r="672" spans="1:3" x14ac:dyDescent="0.25">
      <c r="A672" s="10"/>
      <c r="B672" s="10"/>
      <c r="C672" s="10"/>
    </row>
    <row r="673" spans="1:3" x14ac:dyDescent="0.25">
      <c r="A673" s="10"/>
      <c r="B673" s="10"/>
      <c r="C673" s="10"/>
    </row>
    <row r="674" spans="1:3" x14ac:dyDescent="0.25">
      <c r="A674" s="10"/>
      <c r="B674" s="10"/>
      <c r="C674" s="10"/>
    </row>
    <row r="675" spans="1:3" x14ac:dyDescent="0.25">
      <c r="A675" s="10"/>
      <c r="B675" s="10"/>
      <c r="C675" s="10"/>
    </row>
    <row r="676" spans="1:3" x14ac:dyDescent="0.25">
      <c r="A676" s="10"/>
      <c r="B676" s="10"/>
      <c r="C676" s="10"/>
    </row>
    <row r="677" spans="1:3" x14ac:dyDescent="0.25">
      <c r="A677" s="10"/>
      <c r="B677" s="10"/>
      <c r="C677" s="10"/>
    </row>
    <row r="678" spans="1:3" x14ac:dyDescent="0.25">
      <c r="A678" s="10"/>
      <c r="B678" s="10"/>
      <c r="C678" s="10"/>
    </row>
    <row r="679" spans="1:3" x14ac:dyDescent="0.25">
      <c r="A679" s="10"/>
      <c r="B679" s="10"/>
      <c r="C679" s="10"/>
    </row>
    <row r="680" spans="1:3" x14ac:dyDescent="0.25">
      <c r="A680" s="10"/>
      <c r="B680" s="10"/>
      <c r="C680" s="10"/>
    </row>
    <row r="681" spans="1:3" x14ac:dyDescent="0.25">
      <c r="A681" s="10"/>
      <c r="B681" s="10"/>
      <c r="C681" s="10"/>
    </row>
    <row r="682" spans="1:3" x14ac:dyDescent="0.25">
      <c r="A682" s="10"/>
      <c r="B682" s="10"/>
      <c r="C682" s="10"/>
    </row>
    <row r="683" spans="1:3" x14ac:dyDescent="0.25">
      <c r="A683" s="10"/>
      <c r="B683" s="10"/>
      <c r="C683" s="10"/>
    </row>
    <row r="684" spans="1:3" x14ac:dyDescent="0.25">
      <c r="A684" s="10"/>
      <c r="B684" s="10"/>
      <c r="C684" s="10"/>
    </row>
    <row r="685" spans="1:3" x14ac:dyDescent="0.25">
      <c r="A685" s="10"/>
      <c r="B685" s="10"/>
      <c r="C685" s="10"/>
    </row>
    <row r="686" spans="1:3" x14ac:dyDescent="0.25">
      <c r="A686" s="10"/>
      <c r="B686" s="10"/>
      <c r="C686" s="10"/>
    </row>
    <row r="687" spans="1:3" x14ac:dyDescent="0.25">
      <c r="A687" s="10"/>
      <c r="B687" s="10"/>
      <c r="C687" s="10"/>
    </row>
    <row r="688" spans="1:3" x14ac:dyDescent="0.25">
      <c r="A688" s="10"/>
      <c r="B688" s="10"/>
      <c r="C688" s="10"/>
    </row>
    <row r="689" spans="1:3" x14ac:dyDescent="0.25">
      <c r="A689" s="10"/>
      <c r="B689" s="10"/>
      <c r="C689" s="10"/>
    </row>
    <row r="690" spans="1:3" x14ac:dyDescent="0.25">
      <c r="A690" s="10"/>
      <c r="B690" s="10"/>
      <c r="C690" s="10"/>
    </row>
    <row r="691" spans="1:3" x14ac:dyDescent="0.25">
      <c r="A691" s="10"/>
      <c r="B691" s="10"/>
      <c r="C691" s="10"/>
    </row>
    <row r="692" spans="1:3" x14ac:dyDescent="0.25">
      <c r="A692" s="10"/>
      <c r="B692" s="10"/>
      <c r="C692" s="10"/>
    </row>
    <row r="693" spans="1:3" x14ac:dyDescent="0.25">
      <c r="A693" s="10"/>
      <c r="B693" s="10"/>
      <c r="C693" s="10"/>
    </row>
    <row r="694" spans="1:3" x14ac:dyDescent="0.25">
      <c r="A694" s="10"/>
      <c r="B694" s="10"/>
      <c r="C694" s="10"/>
    </row>
    <row r="695" spans="1:3" x14ac:dyDescent="0.25">
      <c r="A695" s="10"/>
      <c r="B695" s="10"/>
      <c r="C695" s="10"/>
    </row>
    <row r="696" spans="1:3" x14ac:dyDescent="0.25">
      <c r="A696" s="10"/>
      <c r="B696" s="10"/>
      <c r="C696" s="10"/>
    </row>
    <row r="697" spans="1:3" x14ac:dyDescent="0.25">
      <c r="A697" s="10"/>
      <c r="B697" s="10"/>
      <c r="C697" s="10"/>
    </row>
    <row r="698" spans="1:3" x14ac:dyDescent="0.25">
      <c r="A698" s="10"/>
      <c r="B698" s="10"/>
      <c r="C698" s="10"/>
    </row>
    <row r="699" spans="1:3" x14ac:dyDescent="0.25">
      <c r="A699" s="10"/>
      <c r="B699" s="10"/>
      <c r="C699" s="10"/>
    </row>
    <row r="700" spans="1:3" x14ac:dyDescent="0.25">
      <c r="A700" s="10"/>
      <c r="B700" s="10"/>
      <c r="C700" s="10"/>
    </row>
    <row r="701" spans="1:3" x14ac:dyDescent="0.25">
      <c r="A701" s="10"/>
      <c r="B701" s="10"/>
      <c r="C701" s="10"/>
    </row>
    <row r="702" spans="1:3" x14ac:dyDescent="0.25">
      <c r="A702" s="10"/>
      <c r="B702" s="10"/>
      <c r="C702" s="10"/>
    </row>
    <row r="703" spans="1:3" x14ac:dyDescent="0.25">
      <c r="A703" s="10"/>
      <c r="B703" s="10"/>
      <c r="C703" s="10"/>
    </row>
    <row r="704" spans="1:3" x14ac:dyDescent="0.25">
      <c r="A704" s="10"/>
      <c r="B704" s="10"/>
      <c r="C704" s="10"/>
    </row>
    <row r="705" spans="1:3" x14ac:dyDescent="0.25">
      <c r="A705" s="10"/>
      <c r="B705" s="10"/>
      <c r="C705" s="10"/>
    </row>
    <row r="706" spans="1:3" x14ac:dyDescent="0.25">
      <c r="A706" s="10"/>
      <c r="B706" s="10"/>
      <c r="C706" s="10"/>
    </row>
    <row r="707" spans="1:3" x14ac:dyDescent="0.25">
      <c r="A707" s="10"/>
      <c r="B707" s="10"/>
      <c r="C707" s="10"/>
    </row>
    <row r="708" spans="1:3" x14ac:dyDescent="0.25">
      <c r="A708" s="10"/>
      <c r="B708" s="10"/>
      <c r="C708" s="10"/>
    </row>
    <row r="709" spans="1:3" x14ac:dyDescent="0.25">
      <c r="A709" s="10"/>
      <c r="B709" s="10"/>
      <c r="C709" s="10"/>
    </row>
    <row r="710" spans="1:3" x14ac:dyDescent="0.25">
      <c r="A710" s="10"/>
      <c r="B710" s="10"/>
      <c r="C710" s="10"/>
    </row>
    <row r="711" spans="1:3" x14ac:dyDescent="0.25">
      <c r="A711" s="10"/>
      <c r="B711" s="10"/>
      <c r="C711" s="10"/>
    </row>
    <row r="712" spans="1:3" x14ac:dyDescent="0.25">
      <c r="A712" s="10"/>
      <c r="B712" s="10"/>
      <c r="C712" s="10"/>
    </row>
    <row r="713" spans="1:3" x14ac:dyDescent="0.25">
      <c r="A713" s="10"/>
      <c r="B713" s="10"/>
      <c r="C713" s="10"/>
    </row>
    <row r="714" spans="1:3" x14ac:dyDescent="0.25">
      <c r="A714" s="10"/>
      <c r="B714" s="10"/>
      <c r="C714" s="10"/>
    </row>
    <row r="715" spans="1:3" x14ac:dyDescent="0.25">
      <c r="A715" s="10"/>
      <c r="B715" s="10"/>
      <c r="C715" s="10"/>
    </row>
    <row r="716" spans="1:3" x14ac:dyDescent="0.25">
      <c r="A716" s="10"/>
      <c r="B716" s="10"/>
      <c r="C716" s="10"/>
    </row>
    <row r="717" spans="1:3" x14ac:dyDescent="0.25">
      <c r="A717" s="10"/>
      <c r="B717" s="10"/>
      <c r="C717" s="10"/>
    </row>
    <row r="718" spans="1:3" x14ac:dyDescent="0.25">
      <c r="A718" s="10"/>
      <c r="B718" s="10"/>
      <c r="C718" s="10"/>
    </row>
    <row r="719" spans="1:3" x14ac:dyDescent="0.25">
      <c r="A719" s="10"/>
      <c r="B719" s="10"/>
      <c r="C719" s="10"/>
    </row>
    <row r="720" spans="1:3" x14ac:dyDescent="0.25">
      <c r="A720" s="10"/>
      <c r="B720" s="10"/>
      <c r="C720" s="10"/>
    </row>
    <row r="721" spans="1:3" x14ac:dyDescent="0.25">
      <c r="A721" s="10"/>
      <c r="B721" s="10"/>
      <c r="C721" s="10"/>
    </row>
    <row r="722" spans="1:3" x14ac:dyDescent="0.25">
      <c r="A722" s="10"/>
      <c r="B722" s="10"/>
      <c r="C722" s="10"/>
    </row>
    <row r="723" spans="1:3" x14ac:dyDescent="0.25">
      <c r="A723" s="10"/>
      <c r="B723" s="10"/>
      <c r="C723" s="10"/>
    </row>
    <row r="724" spans="1:3" x14ac:dyDescent="0.25">
      <c r="A724" s="10"/>
      <c r="B724" s="10"/>
      <c r="C724" s="10"/>
    </row>
    <row r="725" spans="1:3" x14ac:dyDescent="0.25">
      <c r="A725" s="10"/>
      <c r="B725" s="10"/>
      <c r="C725" s="10"/>
    </row>
    <row r="726" spans="1:3" x14ac:dyDescent="0.25">
      <c r="A726" s="10"/>
      <c r="B726" s="10"/>
      <c r="C726" s="10"/>
    </row>
    <row r="727" spans="1:3" x14ac:dyDescent="0.25">
      <c r="A727" s="10"/>
      <c r="B727" s="10"/>
      <c r="C727" s="10"/>
    </row>
    <row r="728" spans="1:3" x14ac:dyDescent="0.25">
      <c r="A728" s="10"/>
      <c r="B728" s="10"/>
      <c r="C728" s="10"/>
    </row>
    <row r="729" spans="1:3" x14ac:dyDescent="0.25">
      <c r="A729" s="10"/>
      <c r="B729" s="10"/>
      <c r="C729" s="10"/>
    </row>
    <row r="730" spans="1:3" x14ac:dyDescent="0.25">
      <c r="A730" s="10"/>
      <c r="B730" s="10"/>
      <c r="C730" s="10"/>
    </row>
    <row r="731" spans="1:3" x14ac:dyDescent="0.25">
      <c r="A731" s="10"/>
      <c r="B731" s="10"/>
      <c r="C731" s="10"/>
    </row>
    <row r="732" spans="1:3" x14ac:dyDescent="0.25">
      <c r="A732" s="10"/>
      <c r="B732" s="10"/>
      <c r="C732" s="10"/>
    </row>
    <row r="733" spans="1:3" x14ac:dyDescent="0.25">
      <c r="A733" s="10"/>
      <c r="B733" s="10"/>
      <c r="C733" s="10"/>
    </row>
    <row r="734" spans="1:3" x14ac:dyDescent="0.25">
      <c r="A734" s="10"/>
      <c r="B734" s="10"/>
      <c r="C734" s="10"/>
    </row>
    <row r="735" spans="1:3" x14ac:dyDescent="0.25">
      <c r="A735" s="10"/>
      <c r="B735" s="10"/>
      <c r="C735" s="10"/>
    </row>
    <row r="736" spans="1:3" x14ac:dyDescent="0.25">
      <c r="A736" s="10"/>
      <c r="B736" s="10"/>
      <c r="C736" s="10"/>
    </row>
    <row r="737" spans="1:3" x14ac:dyDescent="0.25">
      <c r="A737" s="10"/>
      <c r="B737" s="10"/>
      <c r="C737" s="10"/>
    </row>
    <row r="738" spans="1:3" x14ac:dyDescent="0.25">
      <c r="A738" s="10"/>
      <c r="B738" s="10"/>
      <c r="C738" s="10"/>
    </row>
    <row r="739" spans="1:3" x14ac:dyDescent="0.25">
      <c r="A739" s="10"/>
      <c r="B739" s="10"/>
      <c r="C739" s="10"/>
    </row>
    <row r="740" spans="1:3" x14ac:dyDescent="0.25">
      <c r="A740" s="10"/>
      <c r="B740" s="10"/>
      <c r="C740" s="10"/>
    </row>
    <row r="741" spans="1:3" x14ac:dyDescent="0.25">
      <c r="A741" s="10"/>
      <c r="B741" s="10"/>
      <c r="C741" s="10"/>
    </row>
    <row r="742" spans="1:3" x14ac:dyDescent="0.25">
      <c r="A742" s="10"/>
      <c r="B742" s="10"/>
      <c r="C742" s="10"/>
    </row>
    <row r="743" spans="1:3" x14ac:dyDescent="0.25">
      <c r="A743" s="10"/>
      <c r="B743" s="10"/>
      <c r="C743" s="10"/>
    </row>
    <row r="744" spans="1:3" x14ac:dyDescent="0.25">
      <c r="A744" s="10"/>
      <c r="B744" s="10"/>
      <c r="C744" s="10"/>
    </row>
    <row r="745" spans="1:3" x14ac:dyDescent="0.25">
      <c r="A745" s="10"/>
      <c r="B745" s="10"/>
      <c r="C745" s="10"/>
    </row>
    <row r="746" spans="1:3" x14ac:dyDescent="0.25">
      <c r="A746" s="10"/>
      <c r="B746" s="10"/>
      <c r="C746" s="10"/>
    </row>
    <row r="747" spans="1:3" x14ac:dyDescent="0.25">
      <c r="A747" s="10"/>
      <c r="B747" s="10"/>
      <c r="C747" s="10"/>
    </row>
    <row r="748" spans="1:3" x14ac:dyDescent="0.25">
      <c r="A748" s="10"/>
      <c r="B748" s="10"/>
      <c r="C748" s="10"/>
    </row>
    <row r="749" spans="1:3" x14ac:dyDescent="0.25">
      <c r="A749" s="10"/>
      <c r="B749" s="10"/>
      <c r="C749" s="10"/>
    </row>
    <row r="750" spans="1:3" x14ac:dyDescent="0.25">
      <c r="A750" s="10"/>
      <c r="B750" s="10"/>
      <c r="C750" s="10"/>
    </row>
    <row r="751" spans="1:3" x14ac:dyDescent="0.25">
      <c r="A751" s="10"/>
      <c r="B751" s="10"/>
      <c r="C751" s="10"/>
    </row>
    <row r="752" spans="1:3" x14ac:dyDescent="0.25">
      <c r="A752" s="10"/>
      <c r="B752" s="10"/>
      <c r="C752" s="10"/>
    </row>
    <row r="753" spans="1:3" x14ac:dyDescent="0.25">
      <c r="A753" s="10"/>
      <c r="B753" s="10"/>
      <c r="C753" s="10"/>
    </row>
    <row r="754" spans="1:3" x14ac:dyDescent="0.25">
      <c r="A754" s="10"/>
      <c r="B754" s="10"/>
      <c r="C754" s="10"/>
    </row>
    <row r="755" spans="1:3" x14ac:dyDescent="0.25">
      <c r="A755" s="10"/>
      <c r="B755" s="10"/>
      <c r="C755" s="10"/>
    </row>
    <row r="756" spans="1:3" x14ac:dyDescent="0.25">
      <c r="A756" s="10"/>
      <c r="B756" s="10"/>
      <c r="C756" s="10"/>
    </row>
    <row r="757" spans="1:3" x14ac:dyDescent="0.25">
      <c r="A757" s="10"/>
      <c r="B757" s="10"/>
      <c r="C757" s="10"/>
    </row>
    <row r="758" spans="1:3" x14ac:dyDescent="0.25">
      <c r="A758" s="10"/>
      <c r="B758" s="10"/>
      <c r="C758" s="10"/>
    </row>
    <row r="759" spans="1:3" x14ac:dyDescent="0.25">
      <c r="A759" s="10"/>
      <c r="B759" s="10"/>
      <c r="C759" s="10"/>
    </row>
    <row r="760" spans="1:3" x14ac:dyDescent="0.25">
      <c r="A760" s="10"/>
      <c r="B760" s="10"/>
      <c r="C760" s="10"/>
    </row>
    <row r="761" spans="1:3" x14ac:dyDescent="0.25">
      <c r="A761" s="10"/>
      <c r="B761" s="10"/>
      <c r="C761" s="10"/>
    </row>
    <row r="762" spans="1:3" x14ac:dyDescent="0.25">
      <c r="A762" s="10"/>
      <c r="B762" s="10"/>
      <c r="C762" s="10"/>
    </row>
    <row r="763" spans="1:3" x14ac:dyDescent="0.25">
      <c r="A763" s="10"/>
      <c r="B763" s="10"/>
      <c r="C763" s="10"/>
    </row>
    <row r="764" spans="1:3" x14ac:dyDescent="0.25">
      <c r="A764" s="10"/>
      <c r="B764" s="10"/>
      <c r="C764" s="10"/>
    </row>
    <row r="765" spans="1:3" x14ac:dyDescent="0.25">
      <c r="A765" s="10"/>
      <c r="B765" s="10"/>
      <c r="C765" s="10"/>
    </row>
    <row r="766" spans="1:3" x14ac:dyDescent="0.25">
      <c r="A766" s="10"/>
      <c r="B766" s="10"/>
      <c r="C766" s="10"/>
    </row>
    <row r="767" spans="1:3" x14ac:dyDescent="0.25">
      <c r="A767" s="10"/>
      <c r="B767" s="10"/>
      <c r="C767" s="10"/>
    </row>
    <row r="768" spans="1:3" x14ac:dyDescent="0.25">
      <c r="A768" s="10"/>
      <c r="B768" s="10"/>
      <c r="C768" s="10"/>
    </row>
    <row r="769" spans="1:3" x14ac:dyDescent="0.25">
      <c r="A769" s="10"/>
      <c r="B769" s="10"/>
      <c r="C769" s="10"/>
    </row>
    <row r="770" spans="1:3" x14ac:dyDescent="0.25">
      <c r="A770" s="10"/>
      <c r="B770" s="10"/>
      <c r="C770" s="10"/>
    </row>
    <row r="771" spans="1:3" x14ac:dyDescent="0.25">
      <c r="A771" s="10"/>
      <c r="B771" s="10"/>
      <c r="C771" s="10"/>
    </row>
    <row r="772" spans="1:3" x14ac:dyDescent="0.25">
      <c r="A772" s="10"/>
      <c r="B772" s="10"/>
      <c r="C772" s="10"/>
    </row>
    <row r="773" spans="1:3" x14ac:dyDescent="0.25">
      <c r="A773" s="10"/>
      <c r="B773" s="10"/>
      <c r="C773" s="10"/>
    </row>
    <row r="774" spans="1:3" x14ac:dyDescent="0.25">
      <c r="A774" s="10"/>
      <c r="B774" s="10"/>
      <c r="C774" s="10"/>
    </row>
    <row r="775" spans="1:3" x14ac:dyDescent="0.25">
      <c r="A775" s="10"/>
      <c r="B775" s="10"/>
      <c r="C775" s="10"/>
    </row>
    <row r="776" spans="1:3" x14ac:dyDescent="0.25">
      <c r="A776" s="10"/>
      <c r="B776" s="10"/>
      <c r="C776" s="10"/>
    </row>
    <row r="777" spans="1:3" x14ac:dyDescent="0.25">
      <c r="A777" s="10"/>
      <c r="B777" s="10"/>
      <c r="C777" s="10"/>
    </row>
    <row r="778" spans="1:3" x14ac:dyDescent="0.25">
      <c r="A778" s="10"/>
      <c r="B778" s="10"/>
      <c r="C778" s="10"/>
    </row>
    <row r="779" spans="1:3" x14ac:dyDescent="0.25">
      <c r="A779" s="10"/>
      <c r="B779" s="10"/>
      <c r="C779" s="10"/>
    </row>
    <row r="780" spans="1:3" x14ac:dyDescent="0.25">
      <c r="A780" s="10"/>
      <c r="B780" s="10"/>
      <c r="C780" s="10"/>
    </row>
    <row r="781" spans="1:3" x14ac:dyDescent="0.25">
      <c r="A781" s="10"/>
      <c r="B781" s="10"/>
      <c r="C781" s="10"/>
    </row>
    <row r="782" spans="1:3" x14ac:dyDescent="0.25">
      <c r="A782" s="10"/>
      <c r="B782" s="10"/>
      <c r="C782" s="10"/>
    </row>
    <row r="783" spans="1:3" x14ac:dyDescent="0.25">
      <c r="A783" s="10"/>
      <c r="B783" s="10"/>
      <c r="C783" s="10"/>
    </row>
    <row r="784" spans="1:3" x14ac:dyDescent="0.25">
      <c r="A784" s="10"/>
      <c r="B784" s="10"/>
      <c r="C784" s="10"/>
    </row>
    <row r="785" spans="1:3" x14ac:dyDescent="0.25">
      <c r="A785" s="10"/>
      <c r="B785" s="10"/>
      <c r="C785" s="10"/>
    </row>
    <row r="786" spans="1:3" x14ac:dyDescent="0.25">
      <c r="A786" s="10"/>
      <c r="B786" s="10"/>
      <c r="C786" s="10"/>
    </row>
    <row r="787" spans="1:3" x14ac:dyDescent="0.25">
      <c r="A787" s="10"/>
      <c r="B787" s="10"/>
      <c r="C787" s="10"/>
    </row>
    <row r="788" spans="1:3" x14ac:dyDescent="0.25">
      <c r="A788" s="10"/>
      <c r="B788" s="10"/>
      <c r="C788" s="10"/>
    </row>
    <row r="789" spans="1:3" x14ac:dyDescent="0.25">
      <c r="A789" s="10"/>
      <c r="B789" s="10"/>
      <c r="C789" s="10"/>
    </row>
    <row r="790" spans="1:3" x14ac:dyDescent="0.25">
      <c r="A790" s="10"/>
      <c r="B790" s="10"/>
      <c r="C790" s="10"/>
    </row>
    <row r="791" spans="1:3" x14ac:dyDescent="0.25">
      <c r="A791" s="10"/>
      <c r="B791" s="10"/>
      <c r="C791" s="10"/>
    </row>
    <row r="792" spans="1:3" x14ac:dyDescent="0.25">
      <c r="A792" s="10"/>
      <c r="B792" s="10"/>
      <c r="C792" s="10"/>
    </row>
    <row r="793" spans="1:3" x14ac:dyDescent="0.25">
      <c r="A793" s="10"/>
      <c r="B793" s="10"/>
      <c r="C793" s="10"/>
    </row>
    <row r="794" spans="1:3" x14ac:dyDescent="0.25">
      <c r="A794" s="10"/>
      <c r="B794" s="10"/>
      <c r="C794" s="10"/>
    </row>
    <row r="795" spans="1:3" x14ac:dyDescent="0.25">
      <c r="A795" s="10"/>
      <c r="B795" s="10"/>
      <c r="C795" s="10"/>
    </row>
    <row r="796" spans="1:3" x14ac:dyDescent="0.25">
      <c r="A796" s="10"/>
      <c r="B796" s="10"/>
      <c r="C796" s="10"/>
    </row>
    <row r="797" spans="1:3" x14ac:dyDescent="0.25">
      <c r="A797" s="10"/>
      <c r="B797" s="10"/>
      <c r="C797" s="10"/>
    </row>
    <row r="798" spans="1:3" x14ac:dyDescent="0.25">
      <c r="A798" s="10"/>
      <c r="B798" s="10"/>
      <c r="C798" s="10"/>
    </row>
    <row r="799" spans="1:3" x14ac:dyDescent="0.25">
      <c r="A799" s="10"/>
      <c r="B799" s="10"/>
      <c r="C799" s="10"/>
    </row>
    <row r="800" spans="1:3" x14ac:dyDescent="0.25">
      <c r="A800" s="10"/>
      <c r="B800" s="10"/>
      <c r="C800" s="10"/>
    </row>
    <row r="801" spans="1:3" x14ac:dyDescent="0.25">
      <c r="A801" s="10"/>
      <c r="B801" s="10"/>
      <c r="C801" s="10"/>
    </row>
    <row r="802" spans="1:3" x14ac:dyDescent="0.25">
      <c r="A802" s="10"/>
      <c r="B802" s="10"/>
      <c r="C802" s="10"/>
    </row>
    <row r="803" spans="1:3" x14ac:dyDescent="0.25">
      <c r="A803" s="10"/>
      <c r="B803" s="10"/>
      <c r="C803" s="10"/>
    </row>
    <row r="804" spans="1:3" x14ac:dyDescent="0.25">
      <c r="A804" s="10"/>
      <c r="B804" s="10"/>
      <c r="C804" s="10"/>
    </row>
    <row r="805" spans="1:3" x14ac:dyDescent="0.25">
      <c r="A805" s="10"/>
      <c r="B805" s="10"/>
      <c r="C805" s="10"/>
    </row>
    <row r="806" spans="1:3" x14ac:dyDescent="0.25">
      <c r="A806" s="10"/>
      <c r="B806" s="10"/>
      <c r="C806" s="10"/>
    </row>
    <row r="807" spans="1:3" x14ac:dyDescent="0.25">
      <c r="A807" s="10"/>
      <c r="B807" s="10"/>
      <c r="C807" s="10"/>
    </row>
    <row r="808" spans="1:3" x14ac:dyDescent="0.25">
      <c r="A808" s="10"/>
      <c r="B808" s="10"/>
      <c r="C808" s="10"/>
    </row>
    <row r="809" spans="1:3" x14ac:dyDescent="0.25">
      <c r="A809" s="10"/>
      <c r="B809" s="10"/>
      <c r="C809" s="10"/>
    </row>
    <row r="810" spans="1:3" x14ac:dyDescent="0.25">
      <c r="A810" s="10"/>
      <c r="B810" s="10"/>
      <c r="C810" s="10"/>
    </row>
    <row r="811" spans="1:3" x14ac:dyDescent="0.25">
      <c r="A811" s="10"/>
      <c r="B811" s="10"/>
      <c r="C811" s="10"/>
    </row>
    <row r="812" spans="1:3" x14ac:dyDescent="0.25">
      <c r="A812" s="10"/>
      <c r="B812" s="10"/>
      <c r="C812" s="10"/>
    </row>
    <row r="813" spans="1:3" x14ac:dyDescent="0.25">
      <c r="A813" s="10"/>
      <c r="B813" s="10"/>
      <c r="C813" s="10"/>
    </row>
    <row r="814" spans="1:3" x14ac:dyDescent="0.25">
      <c r="A814" s="10"/>
      <c r="B814" s="10"/>
      <c r="C814" s="10"/>
    </row>
    <row r="815" spans="1:3" x14ac:dyDescent="0.25">
      <c r="A815" s="10"/>
      <c r="B815" s="10"/>
      <c r="C815" s="10"/>
    </row>
    <row r="816" spans="1:3" x14ac:dyDescent="0.25">
      <c r="A816" s="10"/>
      <c r="B816" s="10"/>
      <c r="C816" s="10"/>
    </row>
    <row r="817" spans="1:3" x14ac:dyDescent="0.25">
      <c r="A817" s="10"/>
      <c r="B817" s="10"/>
      <c r="C817" s="10"/>
    </row>
    <row r="818" spans="1:3" x14ac:dyDescent="0.25">
      <c r="A818" s="10"/>
      <c r="B818" s="10"/>
      <c r="C818" s="10"/>
    </row>
    <row r="819" spans="1:3" x14ac:dyDescent="0.25">
      <c r="A819" s="10"/>
      <c r="B819" s="10"/>
      <c r="C819" s="10"/>
    </row>
    <row r="820" spans="1:3" x14ac:dyDescent="0.25">
      <c r="A820" s="10"/>
      <c r="B820" s="10"/>
      <c r="C820" s="10"/>
    </row>
    <row r="821" spans="1:3" x14ac:dyDescent="0.25">
      <c r="A821" s="10"/>
      <c r="B821" s="10"/>
      <c r="C821" s="10"/>
    </row>
    <row r="822" spans="1:3" x14ac:dyDescent="0.25">
      <c r="A822" s="10"/>
      <c r="B822" s="10"/>
      <c r="C822" s="10"/>
    </row>
    <row r="823" spans="1:3" x14ac:dyDescent="0.25">
      <c r="A823" s="10"/>
      <c r="B823" s="10"/>
      <c r="C823" s="10"/>
    </row>
    <row r="824" spans="1:3" x14ac:dyDescent="0.25">
      <c r="A824" s="10"/>
      <c r="B824" s="10"/>
      <c r="C824" s="10"/>
    </row>
    <row r="825" spans="1:3" x14ac:dyDescent="0.25">
      <c r="A825" s="10"/>
      <c r="B825" s="10"/>
      <c r="C825" s="10"/>
    </row>
    <row r="826" spans="1:3" x14ac:dyDescent="0.25">
      <c r="A826" s="10"/>
      <c r="B826" s="10"/>
      <c r="C826" s="10"/>
    </row>
    <row r="827" spans="1:3" x14ac:dyDescent="0.25">
      <c r="A827" s="10"/>
      <c r="B827" s="10"/>
      <c r="C827" s="10"/>
    </row>
    <row r="828" spans="1:3" x14ac:dyDescent="0.25">
      <c r="A828" s="10"/>
      <c r="B828" s="10"/>
      <c r="C828" s="10"/>
    </row>
    <row r="829" spans="1:3" x14ac:dyDescent="0.25">
      <c r="A829" s="10"/>
      <c r="B829" s="10"/>
      <c r="C829" s="10"/>
    </row>
    <row r="830" spans="1:3" x14ac:dyDescent="0.25">
      <c r="A830" s="10"/>
      <c r="B830" s="10"/>
      <c r="C830" s="10"/>
    </row>
    <row r="831" spans="1:3" x14ac:dyDescent="0.25">
      <c r="A831" s="10"/>
      <c r="B831" s="10"/>
      <c r="C831" s="10"/>
    </row>
    <row r="832" spans="1:3" x14ac:dyDescent="0.25">
      <c r="A832" s="10"/>
      <c r="B832" s="10"/>
      <c r="C832" s="10"/>
    </row>
    <row r="833" spans="1:3" x14ac:dyDescent="0.25">
      <c r="A833" s="10"/>
      <c r="B833" s="10"/>
      <c r="C833" s="10"/>
    </row>
    <row r="834" spans="1:3" x14ac:dyDescent="0.25">
      <c r="A834" s="10"/>
      <c r="B834" s="10"/>
      <c r="C834" s="10"/>
    </row>
    <row r="835" spans="1:3" x14ac:dyDescent="0.25">
      <c r="A835" s="10"/>
      <c r="B835" s="10"/>
      <c r="C835" s="10"/>
    </row>
    <row r="836" spans="1:3" x14ac:dyDescent="0.25">
      <c r="A836" s="10"/>
      <c r="B836" s="10"/>
      <c r="C836" s="10"/>
    </row>
    <row r="837" spans="1:3" x14ac:dyDescent="0.25">
      <c r="A837" s="10"/>
      <c r="B837" s="10"/>
      <c r="C837" s="10"/>
    </row>
    <row r="838" spans="1:3" x14ac:dyDescent="0.25">
      <c r="A838" s="10"/>
      <c r="B838" s="10"/>
      <c r="C838" s="10"/>
    </row>
    <row r="839" spans="1:3" x14ac:dyDescent="0.25">
      <c r="A839" s="10"/>
      <c r="B839" s="10"/>
      <c r="C839" s="10"/>
    </row>
    <row r="840" spans="1:3" x14ac:dyDescent="0.25">
      <c r="A840" s="10"/>
      <c r="B840" s="10"/>
      <c r="C840" s="10"/>
    </row>
    <row r="841" spans="1:3" x14ac:dyDescent="0.25">
      <c r="A841" s="10"/>
      <c r="B841" s="10"/>
      <c r="C841" s="10"/>
    </row>
    <row r="842" spans="1:3" x14ac:dyDescent="0.25">
      <c r="A842" s="10"/>
      <c r="B842" s="10"/>
      <c r="C842" s="10"/>
    </row>
    <row r="843" spans="1:3" x14ac:dyDescent="0.25">
      <c r="A843" s="10"/>
      <c r="B843" s="10"/>
      <c r="C843" s="10"/>
    </row>
    <row r="844" spans="1:3" x14ac:dyDescent="0.25">
      <c r="A844" s="10"/>
      <c r="B844" s="10"/>
      <c r="C844" s="10"/>
    </row>
    <row r="845" spans="1:3" x14ac:dyDescent="0.25">
      <c r="A845" s="10"/>
      <c r="B845" s="10"/>
      <c r="C845" s="10"/>
    </row>
    <row r="846" spans="1:3" x14ac:dyDescent="0.25">
      <c r="A846" s="10"/>
      <c r="B846" s="10"/>
      <c r="C846" s="10"/>
    </row>
    <row r="847" spans="1:3" x14ac:dyDescent="0.25">
      <c r="A847" s="10"/>
      <c r="B847" s="10"/>
      <c r="C847" s="10"/>
    </row>
    <row r="848" spans="1:3" x14ac:dyDescent="0.25">
      <c r="A848" s="10"/>
      <c r="B848" s="10"/>
      <c r="C848" s="10"/>
    </row>
    <row r="849" spans="1:3" x14ac:dyDescent="0.25">
      <c r="A849" s="10"/>
      <c r="B849" s="10"/>
      <c r="C849" s="10"/>
    </row>
    <row r="850" spans="1:3" x14ac:dyDescent="0.25">
      <c r="A850" s="10"/>
      <c r="B850" s="10"/>
      <c r="C850" s="10"/>
    </row>
    <row r="851" spans="1:3" x14ac:dyDescent="0.25">
      <c r="A851" s="10"/>
      <c r="B851" s="10"/>
      <c r="C851" s="10"/>
    </row>
    <row r="852" spans="1:3" x14ac:dyDescent="0.25">
      <c r="A852" s="10"/>
      <c r="B852" s="10"/>
      <c r="C852" s="10"/>
    </row>
    <row r="853" spans="1:3" x14ac:dyDescent="0.25">
      <c r="A853" s="10"/>
      <c r="B853" s="10"/>
      <c r="C853" s="10"/>
    </row>
    <row r="854" spans="1:3" x14ac:dyDescent="0.25">
      <c r="A854" s="10"/>
      <c r="B854" s="10"/>
      <c r="C854" s="10"/>
    </row>
    <row r="855" spans="1:3" x14ac:dyDescent="0.25">
      <c r="A855" s="10"/>
      <c r="B855" s="10"/>
      <c r="C855" s="10"/>
    </row>
    <row r="856" spans="1:3" x14ac:dyDescent="0.25">
      <c r="A856" s="10"/>
      <c r="B856" s="10"/>
      <c r="C856" s="10"/>
    </row>
    <row r="857" spans="1:3" x14ac:dyDescent="0.25">
      <c r="A857" s="10"/>
      <c r="B857" s="10"/>
      <c r="C857" s="10"/>
    </row>
    <row r="858" spans="1:3" x14ac:dyDescent="0.25">
      <c r="A858" s="10"/>
      <c r="B858" s="10"/>
      <c r="C858" s="10"/>
    </row>
    <row r="859" spans="1:3" x14ac:dyDescent="0.25">
      <c r="A859" s="10"/>
      <c r="B859" s="10"/>
      <c r="C859" s="10"/>
    </row>
    <row r="860" spans="1:3" x14ac:dyDescent="0.25">
      <c r="A860" s="10"/>
      <c r="B860" s="10"/>
      <c r="C860" s="10"/>
    </row>
    <row r="861" spans="1:3" x14ac:dyDescent="0.25">
      <c r="A861" s="10"/>
      <c r="B861" s="10"/>
      <c r="C861" s="10"/>
    </row>
    <row r="862" spans="1:3" x14ac:dyDescent="0.25">
      <c r="A862" s="10"/>
      <c r="B862" s="10"/>
      <c r="C862" s="10"/>
    </row>
    <row r="863" spans="1:3" x14ac:dyDescent="0.25">
      <c r="A863" s="10"/>
      <c r="B863" s="10"/>
      <c r="C863" s="10"/>
    </row>
    <row r="864" spans="1:3" x14ac:dyDescent="0.25">
      <c r="A864" s="10"/>
      <c r="B864" s="10"/>
      <c r="C864" s="10"/>
    </row>
    <row r="865" spans="1:3" x14ac:dyDescent="0.25">
      <c r="A865" s="10"/>
      <c r="B865" s="10"/>
      <c r="C865" s="10"/>
    </row>
    <row r="866" spans="1:3" x14ac:dyDescent="0.25">
      <c r="A866" s="10"/>
      <c r="B866" s="10"/>
      <c r="C866" s="10"/>
    </row>
    <row r="867" spans="1:3" x14ac:dyDescent="0.25">
      <c r="A867" s="10"/>
      <c r="B867" s="10"/>
      <c r="C867" s="10"/>
    </row>
    <row r="868" spans="1:3" x14ac:dyDescent="0.25">
      <c r="A868" s="10"/>
      <c r="B868" s="10"/>
      <c r="C868" s="10"/>
    </row>
    <row r="869" spans="1:3" x14ac:dyDescent="0.25">
      <c r="A869" s="10"/>
      <c r="B869" s="10"/>
      <c r="C869" s="10"/>
    </row>
    <row r="870" spans="1:3" x14ac:dyDescent="0.25">
      <c r="A870" s="10"/>
      <c r="B870" s="10"/>
      <c r="C870" s="10"/>
    </row>
    <row r="871" spans="1:3" x14ac:dyDescent="0.25">
      <c r="A871" s="10"/>
      <c r="B871" s="10"/>
      <c r="C871" s="10"/>
    </row>
    <row r="872" spans="1:3" x14ac:dyDescent="0.25">
      <c r="A872" s="10"/>
      <c r="B872" s="10"/>
      <c r="C872" s="10"/>
    </row>
    <row r="873" spans="1:3" x14ac:dyDescent="0.25">
      <c r="A873" s="10"/>
      <c r="B873" s="10"/>
      <c r="C873" s="10"/>
    </row>
    <row r="874" spans="1:3" x14ac:dyDescent="0.25">
      <c r="A874" s="10"/>
      <c r="B874" s="10"/>
      <c r="C874" s="10"/>
    </row>
    <row r="875" spans="1:3" x14ac:dyDescent="0.25">
      <c r="A875" s="10"/>
      <c r="B875" s="10"/>
      <c r="C875" s="10"/>
    </row>
    <row r="876" spans="1:3" x14ac:dyDescent="0.25">
      <c r="A876" s="10"/>
      <c r="B876" s="10"/>
      <c r="C876" s="10"/>
    </row>
    <row r="877" spans="1:3" x14ac:dyDescent="0.25">
      <c r="A877" s="10"/>
      <c r="B877" s="10"/>
      <c r="C877" s="10"/>
    </row>
    <row r="878" spans="1:3" x14ac:dyDescent="0.25">
      <c r="A878" s="10"/>
      <c r="B878" s="10"/>
      <c r="C878" s="10"/>
    </row>
    <row r="879" spans="1:3" x14ac:dyDescent="0.25">
      <c r="A879" s="10"/>
      <c r="B879" s="10"/>
      <c r="C879" s="10"/>
    </row>
    <row r="880" spans="1:3" x14ac:dyDescent="0.25">
      <c r="A880" s="10"/>
      <c r="B880" s="10"/>
      <c r="C880" s="10"/>
    </row>
    <row r="881" spans="1:3" x14ac:dyDescent="0.25">
      <c r="A881" s="10"/>
      <c r="B881" s="10"/>
      <c r="C881" s="10"/>
    </row>
    <row r="882" spans="1:3" x14ac:dyDescent="0.25">
      <c r="A882" s="10"/>
      <c r="B882" s="10"/>
      <c r="C882" s="10"/>
    </row>
    <row r="883" spans="1:3" x14ac:dyDescent="0.25">
      <c r="A883" s="10"/>
      <c r="B883" s="10"/>
      <c r="C883" s="10"/>
    </row>
    <row r="884" spans="1:3" x14ac:dyDescent="0.25">
      <c r="A884" s="10"/>
      <c r="B884" s="10"/>
      <c r="C884" s="10"/>
    </row>
    <row r="885" spans="1:3" x14ac:dyDescent="0.25">
      <c r="A885" s="10"/>
      <c r="B885" s="10"/>
      <c r="C885" s="10"/>
    </row>
    <row r="886" spans="1:3" x14ac:dyDescent="0.25">
      <c r="A886" s="10"/>
      <c r="B886" s="10"/>
      <c r="C886" s="10"/>
    </row>
    <row r="887" spans="1:3" x14ac:dyDescent="0.25">
      <c r="A887" s="10"/>
      <c r="B887" s="10"/>
      <c r="C887" s="10"/>
    </row>
    <row r="888" spans="1:3" x14ac:dyDescent="0.25">
      <c r="A888" s="10"/>
      <c r="B888" s="10"/>
      <c r="C888" s="10"/>
    </row>
    <row r="889" spans="1:3" x14ac:dyDescent="0.25">
      <c r="A889" s="10"/>
      <c r="B889" s="10"/>
      <c r="C889" s="10"/>
    </row>
    <row r="890" spans="1:3" x14ac:dyDescent="0.25">
      <c r="A890" s="10"/>
      <c r="B890" s="10"/>
      <c r="C890" s="10"/>
    </row>
    <row r="891" spans="1:3" x14ac:dyDescent="0.25">
      <c r="A891" s="10"/>
      <c r="B891" s="10"/>
      <c r="C891" s="10"/>
    </row>
    <row r="892" spans="1:3" x14ac:dyDescent="0.25">
      <c r="A892" s="10"/>
      <c r="B892" s="10"/>
      <c r="C892" s="10"/>
    </row>
    <row r="893" spans="1:3" x14ac:dyDescent="0.25">
      <c r="A893" s="10"/>
      <c r="B893" s="10"/>
      <c r="C893" s="10"/>
    </row>
    <row r="894" spans="1:3" x14ac:dyDescent="0.25">
      <c r="A894" s="10"/>
      <c r="B894" s="10"/>
      <c r="C894" s="10"/>
    </row>
    <row r="895" spans="1:3" x14ac:dyDescent="0.25">
      <c r="A895" s="10"/>
      <c r="B895" s="10"/>
      <c r="C895" s="10"/>
    </row>
    <row r="896" spans="1:3" x14ac:dyDescent="0.25">
      <c r="A896" s="10"/>
      <c r="B896" s="10"/>
      <c r="C896" s="10"/>
    </row>
    <row r="897" spans="1:3" x14ac:dyDescent="0.25">
      <c r="A897" s="10"/>
      <c r="B897" s="10"/>
      <c r="C897" s="10"/>
    </row>
    <row r="898" spans="1:3" x14ac:dyDescent="0.25">
      <c r="A898" s="10"/>
      <c r="B898" s="10"/>
      <c r="C898" s="10"/>
    </row>
    <row r="899" spans="1:3" x14ac:dyDescent="0.25">
      <c r="A899" s="10"/>
      <c r="B899" s="10"/>
      <c r="C899" s="10"/>
    </row>
    <row r="900" spans="1:3" x14ac:dyDescent="0.25">
      <c r="A900" s="10"/>
      <c r="B900" s="10"/>
      <c r="C900" s="10"/>
    </row>
    <row r="901" spans="1:3" x14ac:dyDescent="0.25">
      <c r="A901" s="10"/>
      <c r="B901" s="10"/>
      <c r="C901" s="10"/>
    </row>
    <row r="902" spans="1:3" x14ac:dyDescent="0.25">
      <c r="A902" s="10"/>
      <c r="B902" s="10"/>
      <c r="C902" s="10"/>
    </row>
    <row r="903" spans="1:3" x14ac:dyDescent="0.25">
      <c r="A903" s="10"/>
      <c r="B903" s="10"/>
      <c r="C903" s="10"/>
    </row>
    <row r="904" spans="1:3" x14ac:dyDescent="0.25">
      <c r="A904" s="10"/>
      <c r="B904" s="10"/>
      <c r="C904" s="10"/>
    </row>
    <row r="905" spans="1:3" x14ac:dyDescent="0.25">
      <c r="A905" s="10"/>
      <c r="B905" s="10"/>
      <c r="C905" s="10"/>
    </row>
    <row r="906" spans="1:3" x14ac:dyDescent="0.25">
      <c r="A906" s="10"/>
      <c r="B906" s="10"/>
      <c r="C906" s="10"/>
    </row>
    <row r="907" spans="1:3" x14ac:dyDescent="0.25">
      <c r="A907" s="10"/>
      <c r="B907" s="10"/>
      <c r="C907" s="10"/>
    </row>
    <row r="908" spans="1:3" x14ac:dyDescent="0.25">
      <c r="A908" s="10"/>
      <c r="B908" s="10"/>
      <c r="C908" s="10"/>
    </row>
    <row r="909" spans="1:3" x14ac:dyDescent="0.25">
      <c r="A909" s="10"/>
      <c r="B909" s="10"/>
      <c r="C909" s="10"/>
    </row>
    <row r="910" spans="1:3" x14ac:dyDescent="0.25">
      <c r="A910" s="10"/>
      <c r="B910" s="10"/>
      <c r="C910" s="10"/>
    </row>
    <row r="911" spans="1:3" x14ac:dyDescent="0.25">
      <c r="A911" s="10"/>
      <c r="B911" s="10"/>
      <c r="C911" s="10"/>
    </row>
    <row r="912" spans="1:3" x14ac:dyDescent="0.25">
      <c r="A912" s="10"/>
      <c r="B912" s="10"/>
      <c r="C912" s="10"/>
    </row>
    <row r="913" spans="1:3" x14ac:dyDescent="0.25">
      <c r="A913" s="10"/>
      <c r="B913" s="10"/>
      <c r="C913" s="10"/>
    </row>
    <row r="914" spans="1:3" x14ac:dyDescent="0.25">
      <c r="A914" s="10"/>
      <c r="B914" s="10"/>
      <c r="C914" s="10"/>
    </row>
    <row r="915" spans="1:3" x14ac:dyDescent="0.25">
      <c r="A915" s="10"/>
      <c r="B915" s="10"/>
      <c r="C915" s="10"/>
    </row>
    <row r="916" spans="1:3" x14ac:dyDescent="0.25">
      <c r="A916" s="10"/>
      <c r="B916" s="10"/>
      <c r="C916" s="10"/>
    </row>
    <row r="917" spans="1:3" x14ac:dyDescent="0.25">
      <c r="A917" s="10"/>
      <c r="B917" s="10"/>
      <c r="C917" s="10"/>
    </row>
    <row r="918" spans="1:3" x14ac:dyDescent="0.25">
      <c r="A918" s="10"/>
      <c r="B918" s="10"/>
      <c r="C918" s="10"/>
    </row>
    <row r="919" spans="1:3" x14ac:dyDescent="0.25">
      <c r="A919" s="10"/>
      <c r="B919" s="10"/>
      <c r="C919" s="10"/>
    </row>
    <row r="920" spans="1:3" x14ac:dyDescent="0.25">
      <c r="A920" s="10"/>
      <c r="B920" s="10"/>
      <c r="C920" s="10"/>
    </row>
    <row r="921" spans="1:3" x14ac:dyDescent="0.25">
      <c r="A921" s="10"/>
      <c r="B921" s="10"/>
      <c r="C921" s="10"/>
    </row>
    <row r="922" spans="1:3" x14ac:dyDescent="0.25">
      <c r="A922" s="10"/>
      <c r="B922" s="10"/>
      <c r="C922" s="10"/>
    </row>
    <row r="923" spans="1:3" x14ac:dyDescent="0.25">
      <c r="A923" s="10"/>
      <c r="B923" s="10"/>
      <c r="C923" s="10"/>
    </row>
    <row r="924" spans="1:3" x14ac:dyDescent="0.25">
      <c r="A924" s="10"/>
      <c r="B924" s="10"/>
      <c r="C924" s="10"/>
    </row>
    <row r="925" spans="1:3" x14ac:dyDescent="0.25">
      <c r="A925" s="10"/>
      <c r="B925" s="10"/>
      <c r="C925" s="10"/>
    </row>
    <row r="926" spans="1:3" x14ac:dyDescent="0.25">
      <c r="A926" s="10"/>
      <c r="B926" s="10"/>
      <c r="C926" s="10"/>
    </row>
    <row r="927" spans="1:3" x14ac:dyDescent="0.25">
      <c r="A927" s="10"/>
      <c r="B927" s="10"/>
      <c r="C927" s="10"/>
    </row>
    <row r="928" spans="1:3" x14ac:dyDescent="0.25">
      <c r="A928" s="10"/>
      <c r="B928" s="10"/>
      <c r="C928" s="10"/>
    </row>
    <row r="929" spans="1:3" x14ac:dyDescent="0.25">
      <c r="A929" s="10"/>
      <c r="B929" s="10"/>
      <c r="C929" s="10"/>
    </row>
    <row r="930" spans="1:3" x14ac:dyDescent="0.25">
      <c r="A930" s="10"/>
      <c r="B930" s="10"/>
      <c r="C930" s="10"/>
    </row>
    <row r="931" spans="1:3" x14ac:dyDescent="0.25">
      <c r="A931" s="10"/>
      <c r="B931" s="10"/>
      <c r="C931" s="10"/>
    </row>
    <row r="932" spans="1:3" x14ac:dyDescent="0.25">
      <c r="A932" s="10"/>
      <c r="B932" s="10"/>
      <c r="C932" s="10"/>
    </row>
    <row r="933" spans="1:3" x14ac:dyDescent="0.25">
      <c r="A933" s="10"/>
      <c r="B933" s="10"/>
      <c r="C933" s="10"/>
    </row>
    <row r="934" spans="1:3" x14ac:dyDescent="0.25">
      <c r="A934" s="10"/>
      <c r="B934" s="10"/>
      <c r="C934" s="10"/>
    </row>
    <row r="935" spans="1:3" x14ac:dyDescent="0.25">
      <c r="A935" s="10"/>
      <c r="B935" s="10"/>
      <c r="C935" s="10"/>
    </row>
    <row r="936" spans="1:3" x14ac:dyDescent="0.25">
      <c r="A936" s="10"/>
      <c r="B936" s="10"/>
      <c r="C936" s="10"/>
    </row>
    <row r="937" spans="1:3" x14ac:dyDescent="0.25">
      <c r="A937" s="10"/>
      <c r="B937" s="10"/>
      <c r="C937" s="10"/>
    </row>
    <row r="938" spans="1:3" x14ac:dyDescent="0.25">
      <c r="A938" s="10"/>
      <c r="B938" s="10"/>
      <c r="C938" s="10"/>
    </row>
    <row r="939" spans="1:3" x14ac:dyDescent="0.25">
      <c r="A939" s="10"/>
      <c r="B939" s="10"/>
      <c r="C939" s="10"/>
    </row>
    <row r="940" spans="1:3" x14ac:dyDescent="0.25">
      <c r="A940" s="10"/>
      <c r="B940" s="10"/>
      <c r="C940" s="10"/>
    </row>
    <row r="941" spans="1:3" x14ac:dyDescent="0.25">
      <c r="A941" s="10"/>
      <c r="B941" s="10"/>
      <c r="C941" s="10"/>
    </row>
    <row r="942" spans="1:3" x14ac:dyDescent="0.25">
      <c r="A942" s="10"/>
      <c r="B942" s="10"/>
      <c r="C942" s="10"/>
    </row>
    <row r="943" spans="1:3" x14ac:dyDescent="0.25">
      <c r="A943" s="10"/>
      <c r="B943" s="10"/>
      <c r="C943" s="10"/>
    </row>
    <row r="944" spans="1:3" x14ac:dyDescent="0.25">
      <c r="A944" s="10"/>
      <c r="B944" s="10"/>
      <c r="C944" s="10"/>
    </row>
    <row r="945" spans="1:3" x14ac:dyDescent="0.25">
      <c r="A945" s="10"/>
      <c r="B945" s="10"/>
      <c r="C945" s="10"/>
    </row>
    <row r="946" spans="1:3" x14ac:dyDescent="0.25">
      <c r="A946" s="10"/>
      <c r="B946" s="10"/>
      <c r="C946" s="10"/>
    </row>
    <row r="947" spans="1:3" x14ac:dyDescent="0.25">
      <c r="A947" s="10"/>
      <c r="B947" s="10"/>
      <c r="C947" s="10"/>
    </row>
    <row r="948" spans="1:3" x14ac:dyDescent="0.25">
      <c r="A948" s="10"/>
      <c r="B948" s="10"/>
      <c r="C948" s="10"/>
    </row>
    <row r="949" spans="1:3" x14ac:dyDescent="0.25">
      <c r="A949" s="10"/>
      <c r="B949" s="10"/>
      <c r="C949" s="10"/>
    </row>
    <row r="950" spans="1:3" x14ac:dyDescent="0.25">
      <c r="A950" s="10"/>
      <c r="B950" s="10"/>
      <c r="C950" s="10"/>
    </row>
    <row r="951" spans="1:3" x14ac:dyDescent="0.25">
      <c r="A951" s="10"/>
      <c r="B951" s="10"/>
      <c r="C951" s="10"/>
    </row>
    <row r="952" spans="1:3" x14ac:dyDescent="0.25">
      <c r="A952" s="10"/>
      <c r="B952" s="10"/>
      <c r="C952" s="10"/>
    </row>
    <row r="953" spans="1:3" x14ac:dyDescent="0.25">
      <c r="A953" s="10"/>
      <c r="B953" s="10"/>
      <c r="C953" s="10"/>
    </row>
    <row r="954" spans="1:3" x14ac:dyDescent="0.25">
      <c r="A954" s="10"/>
      <c r="B954" s="10"/>
      <c r="C954" s="10"/>
    </row>
    <row r="955" spans="1:3" x14ac:dyDescent="0.25">
      <c r="A955" s="10"/>
      <c r="B955" s="10"/>
      <c r="C955" s="10"/>
    </row>
    <row r="956" spans="1:3" x14ac:dyDescent="0.25">
      <c r="A956" s="10"/>
      <c r="B956" s="10"/>
      <c r="C956" s="10"/>
    </row>
    <row r="957" spans="1:3" x14ac:dyDescent="0.25">
      <c r="A957" s="10"/>
      <c r="B957" s="10"/>
      <c r="C957" s="10"/>
    </row>
    <row r="958" spans="1:3" x14ac:dyDescent="0.25">
      <c r="A958" s="10"/>
      <c r="B958" s="10"/>
      <c r="C958" s="10"/>
    </row>
    <row r="959" spans="1:3" x14ac:dyDescent="0.25">
      <c r="A959" s="10"/>
      <c r="B959" s="10"/>
      <c r="C959" s="10"/>
    </row>
    <row r="960" spans="1:3" x14ac:dyDescent="0.25">
      <c r="A960" s="10"/>
      <c r="B960" s="10"/>
      <c r="C960" s="10"/>
    </row>
    <row r="961" spans="1:3" x14ac:dyDescent="0.25">
      <c r="A961" s="10"/>
      <c r="B961" s="10"/>
      <c r="C961" s="10"/>
    </row>
    <row r="962" spans="1:3" x14ac:dyDescent="0.25">
      <c r="A962" s="10"/>
      <c r="B962" s="10"/>
      <c r="C962" s="10"/>
    </row>
    <row r="963" spans="1:3" x14ac:dyDescent="0.25">
      <c r="A963" s="10"/>
      <c r="B963" s="10"/>
      <c r="C963" s="10"/>
    </row>
    <row r="964" spans="1:3" x14ac:dyDescent="0.25">
      <c r="A964" s="10"/>
      <c r="B964" s="10"/>
      <c r="C964" s="10"/>
    </row>
    <row r="965" spans="1:3" x14ac:dyDescent="0.25">
      <c r="A965" s="10"/>
      <c r="B965" s="10"/>
      <c r="C965" s="10"/>
    </row>
    <row r="966" spans="1:3" x14ac:dyDescent="0.25">
      <c r="A966" s="10"/>
      <c r="B966" s="10"/>
      <c r="C966" s="10"/>
    </row>
    <row r="967" spans="1:3" x14ac:dyDescent="0.25">
      <c r="A967" s="10"/>
      <c r="B967" s="10"/>
      <c r="C967" s="10"/>
    </row>
    <row r="968" spans="1:3" x14ac:dyDescent="0.25">
      <c r="A968" s="10"/>
      <c r="B968" s="10"/>
      <c r="C968" s="10"/>
    </row>
    <row r="969" spans="1:3" x14ac:dyDescent="0.25">
      <c r="A969" s="10"/>
      <c r="B969" s="10"/>
      <c r="C969" s="10"/>
    </row>
    <row r="970" spans="1:3" x14ac:dyDescent="0.25">
      <c r="A970" s="10"/>
      <c r="B970" s="10"/>
      <c r="C970" s="10"/>
    </row>
    <row r="971" spans="1:3" x14ac:dyDescent="0.25">
      <c r="A971" s="10"/>
      <c r="B971" s="10"/>
      <c r="C971" s="10"/>
    </row>
    <row r="972" spans="1:3" x14ac:dyDescent="0.25">
      <c r="A972" s="10"/>
      <c r="B972" s="10"/>
      <c r="C972" s="10"/>
    </row>
    <row r="973" spans="1:3" x14ac:dyDescent="0.25">
      <c r="A973" s="10"/>
      <c r="B973" s="10"/>
      <c r="C973" s="10"/>
    </row>
    <row r="974" spans="1:3" x14ac:dyDescent="0.25">
      <c r="A974" s="10"/>
      <c r="B974" s="10"/>
      <c r="C974" s="10"/>
    </row>
    <row r="975" spans="1:3" x14ac:dyDescent="0.25">
      <c r="A975" s="10"/>
      <c r="B975" s="10"/>
      <c r="C975" s="10"/>
    </row>
    <row r="976" spans="1:3" x14ac:dyDescent="0.25">
      <c r="A976" s="10"/>
      <c r="B976" s="10"/>
      <c r="C976" s="10"/>
    </row>
    <row r="977" spans="1:3" x14ac:dyDescent="0.25">
      <c r="A977" s="10"/>
      <c r="B977" s="10"/>
      <c r="C977" s="10"/>
    </row>
    <row r="978" spans="1:3" x14ac:dyDescent="0.25">
      <c r="A978" s="10"/>
      <c r="B978" s="10"/>
      <c r="C978" s="10"/>
    </row>
    <row r="979" spans="1:3" x14ac:dyDescent="0.25">
      <c r="A979" s="10"/>
      <c r="B979" s="10"/>
      <c r="C979" s="10"/>
    </row>
    <row r="980" spans="1:3" x14ac:dyDescent="0.25">
      <c r="A980" s="10"/>
      <c r="B980" s="10"/>
      <c r="C980" s="10"/>
    </row>
    <row r="981" spans="1:3" x14ac:dyDescent="0.25">
      <c r="A981" s="10"/>
      <c r="B981" s="10"/>
      <c r="C981" s="10"/>
    </row>
    <row r="982" spans="1:3" x14ac:dyDescent="0.25">
      <c r="A982" s="10"/>
      <c r="B982" s="10"/>
      <c r="C982" s="10"/>
    </row>
    <row r="983" spans="1:3" x14ac:dyDescent="0.25">
      <c r="A983" s="10"/>
      <c r="B983" s="10"/>
      <c r="C983" s="10"/>
    </row>
    <row r="984" spans="1:3" x14ac:dyDescent="0.25">
      <c r="A984" s="10"/>
      <c r="B984" s="10"/>
      <c r="C984" s="10"/>
    </row>
    <row r="985" spans="1:3" x14ac:dyDescent="0.25">
      <c r="A985" s="10"/>
      <c r="B985" s="10"/>
      <c r="C985" s="10"/>
    </row>
    <row r="986" spans="1:3" x14ac:dyDescent="0.25">
      <c r="A986" s="10"/>
      <c r="B986" s="10"/>
      <c r="C986" s="10"/>
    </row>
    <row r="987" spans="1:3" x14ac:dyDescent="0.25">
      <c r="A987" s="10"/>
      <c r="B987" s="10"/>
      <c r="C987" s="10"/>
    </row>
    <row r="988" spans="1:3" x14ac:dyDescent="0.25">
      <c r="A988" s="10"/>
      <c r="B988" s="10"/>
      <c r="C988" s="10"/>
    </row>
    <row r="989" spans="1:3" x14ac:dyDescent="0.25">
      <c r="A989" s="10"/>
      <c r="B989" s="10"/>
      <c r="C989" s="10"/>
    </row>
    <row r="990" spans="1:3" x14ac:dyDescent="0.25">
      <c r="A990" s="10"/>
      <c r="B990" s="10"/>
      <c r="C990" s="10"/>
    </row>
    <row r="991" spans="1:3" x14ac:dyDescent="0.25">
      <c r="A991" s="10"/>
      <c r="B991" s="10"/>
      <c r="C991" s="10"/>
    </row>
    <row r="992" spans="1:3" x14ac:dyDescent="0.25">
      <c r="A992" s="10"/>
      <c r="B992" s="10"/>
      <c r="C992" s="10"/>
    </row>
    <row r="993" spans="1:3" x14ac:dyDescent="0.25">
      <c r="A993" s="10"/>
      <c r="B993" s="10"/>
      <c r="C993" s="10"/>
    </row>
    <row r="994" spans="1:3" x14ac:dyDescent="0.25">
      <c r="A994" s="10"/>
      <c r="B994" s="10"/>
      <c r="C994" s="10"/>
    </row>
    <row r="995" spans="1:3" x14ac:dyDescent="0.25">
      <c r="A995" s="10"/>
      <c r="B995" s="10"/>
      <c r="C995" s="10"/>
    </row>
    <row r="996" spans="1:3" x14ac:dyDescent="0.25">
      <c r="A996" s="10"/>
      <c r="B996" s="10"/>
      <c r="C996" s="10"/>
    </row>
    <row r="997" spans="1:3" x14ac:dyDescent="0.25">
      <c r="A997" s="10"/>
      <c r="B997" s="10"/>
      <c r="C997" s="10"/>
    </row>
    <row r="998" spans="1:3" x14ac:dyDescent="0.25">
      <c r="A998" s="10"/>
      <c r="B998" s="10"/>
      <c r="C998" s="10"/>
    </row>
    <row r="999" spans="1:3" x14ac:dyDescent="0.25">
      <c r="A999" s="10"/>
      <c r="B999" s="10"/>
      <c r="C999" s="10"/>
    </row>
    <row r="1000" spans="1:3" x14ac:dyDescent="0.25">
      <c r="A1000" s="10"/>
      <c r="B1000" s="10"/>
      <c r="C1000" s="10"/>
    </row>
    <row r="1001" spans="1:3" x14ac:dyDescent="0.25">
      <c r="A1001" s="10"/>
      <c r="B1001" s="10"/>
      <c r="C1001" s="10"/>
    </row>
    <row r="1002" spans="1:3" x14ac:dyDescent="0.25">
      <c r="A1002" s="10"/>
      <c r="B1002" s="10"/>
      <c r="C1002" s="10"/>
    </row>
    <row r="1003" spans="1:3" x14ac:dyDescent="0.25">
      <c r="A1003" s="10"/>
      <c r="B1003" s="10"/>
      <c r="C1003" s="10"/>
    </row>
    <row r="1004" spans="1:3" x14ac:dyDescent="0.25">
      <c r="A1004" s="10"/>
      <c r="B1004" s="10"/>
      <c r="C1004" s="10"/>
    </row>
    <row r="1005" spans="1:3" x14ac:dyDescent="0.25">
      <c r="A1005" s="10"/>
      <c r="B1005" s="10"/>
      <c r="C1005" s="10"/>
    </row>
    <row r="1006" spans="1:3" x14ac:dyDescent="0.25">
      <c r="A1006" s="10"/>
      <c r="B1006" s="10"/>
      <c r="C1006" s="10"/>
    </row>
    <row r="1007" spans="1:3" x14ac:dyDescent="0.25">
      <c r="A1007" s="10"/>
      <c r="B1007" s="10"/>
      <c r="C1007" s="10"/>
    </row>
    <row r="1008" spans="1:3" x14ac:dyDescent="0.25">
      <c r="A1008" s="10"/>
      <c r="B1008" s="10"/>
      <c r="C1008" s="10"/>
    </row>
    <row r="1009" spans="1:3" x14ac:dyDescent="0.25">
      <c r="A1009" s="10"/>
      <c r="B1009" s="10"/>
      <c r="C1009" s="10"/>
    </row>
    <row r="1010" spans="1:3" x14ac:dyDescent="0.25">
      <c r="A1010" s="10"/>
      <c r="B1010" s="10"/>
      <c r="C1010" s="10"/>
    </row>
    <row r="1011" spans="1:3" x14ac:dyDescent="0.25">
      <c r="A1011" s="10"/>
      <c r="B1011" s="10"/>
      <c r="C1011" s="10"/>
    </row>
    <row r="1012" spans="1:3" x14ac:dyDescent="0.25">
      <c r="A1012" s="10"/>
      <c r="B1012" s="10"/>
      <c r="C1012" s="10"/>
    </row>
    <row r="1013" spans="1:3" x14ac:dyDescent="0.25">
      <c r="A1013" s="10"/>
      <c r="B1013" s="10"/>
      <c r="C1013" s="10"/>
    </row>
    <row r="1014" spans="1:3" x14ac:dyDescent="0.25">
      <c r="A1014" s="10"/>
      <c r="B1014" s="10"/>
      <c r="C1014" s="10"/>
    </row>
    <row r="1015" spans="1:3" x14ac:dyDescent="0.25">
      <c r="A1015" s="10"/>
      <c r="B1015" s="10"/>
      <c r="C1015" s="10"/>
    </row>
    <row r="1016" spans="1:3" x14ac:dyDescent="0.25">
      <c r="A1016" s="10"/>
      <c r="B1016" s="10"/>
      <c r="C1016" s="10"/>
    </row>
    <row r="1017" spans="1:3" x14ac:dyDescent="0.25">
      <c r="A1017" s="10"/>
      <c r="B1017" s="10"/>
      <c r="C1017" s="10"/>
    </row>
    <row r="1018" spans="1:3" x14ac:dyDescent="0.25">
      <c r="A1018" s="10"/>
      <c r="B1018" s="10"/>
      <c r="C1018" s="10"/>
    </row>
    <row r="1019" spans="1:3" x14ac:dyDescent="0.25">
      <c r="A1019" s="10"/>
      <c r="B1019" s="10"/>
      <c r="C1019" s="10"/>
    </row>
    <row r="1020" spans="1:3" x14ac:dyDescent="0.25">
      <c r="A1020" s="10"/>
      <c r="B1020" s="10"/>
      <c r="C1020" s="10"/>
    </row>
    <row r="1021" spans="1:3" x14ac:dyDescent="0.25">
      <c r="A1021" s="10"/>
      <c r="B1021" s="10"/>
      <c r="C1021" s="10"/>
    </row>
    <row r="1022" spans="1:3" x14ac:dyDescent="0.25">
      <c r="A1022" s="10"/>
      <c r="B1022" s="10"/>
      <c r="C1022" s="10"/>
    </row>
    <row r="1023" spans="1:3" x14ac:dyDescent="0.25">
      <c r="A1023" s="10"/>
      <c r="B1023" s="10"/>
      <c r="C1023" s="10"/>
    </row>
    <row r="1024" spans="1:3" x14ac:dyDescent="0.25">
      <c r="A1024" s="10"/>
      <c r="B1024" s="10"/>
      <c r="C1024" s="10"/>
    </row>
    <row r="1025" spans="1:3" x14ac:dyDescent="0.25">
      <c r="A1025" s="10"/>
      <c r="B1025" s="10"/>
      <c r="C1025" s="10"/>
    </row>
    <row r="1026" spans="1:3" x14ac:dyDescent="0.25">
      <c r="A1026" s="10"/>
      <c r="B1026" s="10"/>
      <c r="C1026" s="10"/>
    </row>
    <row r="1027" spans="1:3" x14ac:dyDescent="0.25">
      <c r="A1027" s="10"/>
      <c r="B1027" s="10"/>
      <c r="C1027" s="10"/>
    </row>
    <row r="1028" spans="1:3" x14ac:dyDescent="0.25">
      <c r="A1028" s="10"/>
      <c r="B1028" s="10"/>
      <c r="C1028" s="10"/>
    </row>
    <row r="1029" spans="1:3" x14ac:dyDescent="0.25">
      <c r="A1029" s="10"/>
      <c r="B1029" s="10"/>
      <c r="C1029" s="10"/>
    </row>
    <row r="1030" spans="1:3" x14ac:dyDescent="0.25">
      <c r="A1030" s="10"/>
      <c r="B1030" s="10"/>
      <c r="C1030" s="10"/>
    </row>
    <row r="1031" spans="1:3" x14ac:dyDescent="0.25">
      <c r="A1031" s="10"/>
      <c r="B1031" s="10"/>
      <c r="C1031" s="10"/>
    </row>
    <row r="1032" spans="1:3" x14ac:dyDescent="0.25">
      <c r="A1032" s="10"/>
      <c r="B1032" s="10"/>
      <c r="C1032" s="10"/>
    </row>
    <row r="1033" spans="1:3" x14ac:dyDescent="0.25">
      <c r="A1033" s="10"/>
      <c r="B1033" s="10"/>
      <c r="C1033" s="10"/>
    </row>
    <row r="1034" spans="1:3" x14ac:dyDescent="0.25">
      <c r="A1034" s="10"/>
      <c r="B1034" s="10"/>
      <c r="C1034" s="10"/>
    </row>
    <row r="1035" spans="1:3" x14ac:dyDescent="0.25">
      <c r="A1035" s="10"/>
      <c r="B1035" s="10"/>
      <c r="C1035" s="10"/>
    </row>
    <row r="1036" spans="1:3" x14ac:dyDescent="0.25">
      <c r="A1036" s="10"/>
      <c r="B1036" s="10"/>
      <c r="C1036" s="10"/>
    </row>
    <row r="1037" spans="1:3" x14ac:dyDescent="0.25">
      <c r="A1037" s="10"/>
      <c r="B1037" s="10"/>
      <c r="C1037" s="10"/>
    </row>
    <row r="1038" spans="1:3" x14ac:dyDescent="0.25">
      <c r="A1038" s="10"/>
      <c r="B1038" s="10"/>
      <c r="C1038" s="10"/>
    </row>
    <row r="1039" spans="1:3" x14ac:dyDescent="0.25">
      <c r="A1039" s="10"/>
      <c r="B1039" s="10"/>
      <c r="C1039" s="10"/>
    </row>
    <row r="1040" spans="1:3" x14ac:dyDescent="0.25">
      <c r="A1040" s="10"/>
      <c r="B1040" s="10"/>
      <c r="C1040" s="10"/>
    </row>
    <row r="1041" spans="1:3" x14ac:dyDescent="0.25">
      <c r="A1041" s="10"/>
      <c r="B1041" s="10"/>
      <c r="C1041" s="10"/>
    </row>
    <row r="1042" spans="1:3" x14ac:dyDescent="0.25">
      <c r="A1042" s="10"/>
      <c r="B1042" s="10"/>
      <c r="C1042" s="10"/>
    </row>
    <row r="1043" spans="1:3" x14ac:dyDescent="0.25">
      <c r="A1043" s="10"/>
      <c r="B1043" s="10"/>
      <c r="C1043" s="10"/>
    </row>
    <row r="1044" spans="1:3" x14ac:dyDescent="0.25">
      <c r="A1044" s="10"/>
      <c r="B1044" s="10"/>
      <c r="C1044" s="10"/>
    </row>
    <row r="1045" spans="1:3" x14ac:dyDescent="0.25">
      <c r="A1045" s="10"/>
      <c r="B1045" s="10"/>
      <c r="C1045" s="10"/>
    </row>
    <row r="1046" spans="1:3" x14ac:dyDescent="0.25">
      <c r="A1046" s="10"/>
      <c r="B1046" s="10"/>
      <c r="C1046" s="10"/>
    </row>
    <row r="1047" spans="1:3" x14ac:dyDescent="0.25">
      <c r="A1047" s="10"/>
      <c r="B1047" s="10"/>
      <c r="C1047" s="10"/>
    </row>
    <row r="1048" spans="1:3" x14ac:dyDescent="0.25">
      <c r="A1048" s="10"/>
      <c r="B1048" s="10"/>
      <c r="C1048" s="10"/>
    </row>
    <row r="1049" spans="1:3" x14ac:dyDescent="0.25">
      <c r="A1049" s="10"/>
      <c r="B1049" s="10"/>
      <c r="C1049" s="10"/>
    </row>
    <row r="1050" spans="1:3" x14ac:dyDescent="0.25">
      <c r="A1050" s="10"/>
      <c r="B1050" s="10"/>
      <c r="C1050" s="10"/>
    </row>
    <row r="1051" spans="1:3" x14ac:dyDescent="0.25">
      <c r="A1051" s="10"/>
      <c r="B1051" s="10"/>
      <c r="C1051" s="10"/>
    </row>
    <row r="1052" spans="1:3" x14ac:dyDescent="0.25">
      <c r="A1052" s="10"/>
      <c r="B1052" s="10"/>
      <c r="C1052" s="10"/>
    </row>
    <row r="1053" spans="1:3" x14ac:dyDescent="0.25">
      <c r="A1053" s="10"/>
      <c r="B1053" s="10"/>
      <c r="C1053" s="10"/>
    </row>
    <row r="1054" spans="1:3" x14ac:dyDescent="0.25">
      <c r="A1054" s="10"/>
      <c r="B1054" s="10"/>
      <c r="C1054" s="10"/>
    </row>
    <row r="1055" spans="1:3" x14ac:dyDescent="0.25">
      <c r="A1055" s="10"/>
      <c r="B1055" s="10"/>
      <c r="C1055" s="10"/>
    </row>
    <row r="1056" spans="1:3" x14ac:dyDescent="0.25">
      <c r="A1056" s="10"/>
      <c r="B1056" s="10"/>
      <c r="C1056" s="10"/>
    </row>
    <row r="1057" spans="1:3" x14ac:dyDescent="0.25">
      <c r="A1057" s="10"/>
      <c r="B1057" s="10"/>
      <c r="C1057" s="10"/>
    </row>
    <row r="1058" spans="1:3" x14ac:dyDescent="0.25">
      <c r="A1058" s="10"/>
      <c r="B1058" s="10"/>
      <c r="C1058" s="10"/>
    </row>
    <row r="1059" spans="1:3" x14ac:dyDescent="0.25">
      <c r="A1059" s="10"/>
      <c r="B1059" s="10"/>
      <c r="C1059" s="10"/>
    </row>
    <row r="1060" spans="1:3" x14ac:dyDescent="0.25">
      <c r="A1060" s="10"/>
      <c r="B1060" s="10"/>
      <c r="C1060" s="10"/>
    </row>
    <row r="1061" spans="1:3" x14ac:dyDescent="0.25">
      <c r="A1061" s="10"/>
      <c r="B1061" s="10"/>
      <c r="C1061" s="10"/>
    </row>
    <row r="1062" spans="1:3" x14ac:dyDescent="0.25">
      <c r="A1062" s="10"/>
      <c r="B1062" s="10"/>
      <c r="C1062" s="10"/>
    </row>
    <row r="1063" spans="1:3" x14ac:dyDescent="0.25">
      <c r="A1063" s="10"/>
      <c r="B1063" s="10"/>
      <c r="C1063" s="10"/>
    </row>
    <row r="1064" spans="1:3" x14ac:dyDescent="0.25">
      <c r="A1064" s="10"/>
      <c r="B1064" s="10"/>
      <c r="C1064" s="10"/>
    </row>
    <row r="1065" spans="1:3" x14ac:dyDescent="0.25">
      <c r="A1065" s="10"/>
      <c r="B1065" s="10"/>
      <c r="C1065" s="10"/>
    </row>
    <row r="1066" spans="1:3" x14ac:dyDescent="0.25">
      <c r="A1066" s="10"/>
      <c r="B1066" s="10"/>
      <c r="C1066" s="10"/>
    </row>
    <row r="1067" spans="1:3" x14ac:dyDescent="0.25">
      <c r="A1067" s="10"/>
      <c r="B1067" s="10"/>
      <c r="C1067" s="10"/>
    </row>
    <row r="1068" spans="1:3" x14ac:dyDescent="0.25">
      <c r="A1068" s="10"/>
      <c r="B1068" s="10"/>
      <c r="C1068" s="10"/>
    </row>
    <row r="1069" spans="1:3" x14ac:dyDescent="0.25">
      <c r="A1069" s="10"/>
      <c r="B1069" s="10"/>
      <c r="C1069" s="10"/>
    </row>
    <row r="1070" spans="1:3" x14ac:dyDescent="0.25">
      <c r="A1070" s="10"/>
      <c r="B1070" s="10"/>
      <c r="C1070" s="10"/>
    </row>
    <row r="1071" spans="1:3" x14ac:dyDescent="0.25">
      <c r="A1071" s="10"/>
      <c r="B1071" s="10"/>
      <c r="C1071" s="10"/>
    </row>
    <row r="1072" spans="1:3" x14ac:dyDescent="0.25">
      <c r="A1072" s="10"/>
      <c r="B1072" s="10"/>
      <c r="C1072" s="10"/>
    </row>
    <row r="1073" spans="1:3" x14ac:dyDescent="0.25">
      <c r="A1073" s="10"/>
      <c r="B1073" s="10"/>
      <c r="C1073" s="10"/>
    </row>
    <row r="1074" spans="1:3" x14ac:dyDescent="0.25">
      <c r="A1074" s="10"/>
      <c r="B1074" s="10"/>
      <c r="C1074" s="10"/>
    </row>
    <row r="1075" spans="1:3" x14ac:dyDescent="0.25">
      <c r="A1075" s="10"/>
      <c r="B1075" s="10"/>
      <c r="C1075" s="10"/>
    </row>
    <row r="1076" spans="1:3" x14ac:dyDescent="0.25">
      <c r="A1076" s="10"/>
      <c r="B1076" s="10"/>
      <c r="C1076" s="10"/>
    </row>
    <row r="1077" spans="1:3" x14ac:dyDescent="0.25">
      <c r="A1077" s="10"/>
      <c r="B1077" s="10"/>
      <c r="C1077" s="10"/>
    </row>
    <row r="1078" spans="1:3" x14ac:dyDescent="0.25">
      <c r="A1078" s="10"/>
      <c r="B1078" s="10"/>
      <c r="C1078" s="10"/>
    </row>
    <row r="1079" spans="1:3" x14ac:dyDescent="0.25">
      <c r="A1079" s="10"/>
      <c r="B1079" s="10"/>
      <c r="C1079" s="10"/>
    </row>
    <row r="1080" spans="1:3" x14ac:dyDescent="0.25">
      <c r="A1080" s="10"/>
      <c r="B1080" s="10"/>
      <c r="C1080" s="10"/>
    </row>
    <row r="1081" spans="1:3" x14ac:dyDescent="0.25">
      <c r="A1081" s="10"/>
      <c r="B1081" s="10"/>
      <c r="C1081" s="10"/>
    </row>
    <row r="1082" spans="1:3" x14ac:dyDescent="0.25">
      <c r="A1082" s="10"/>
      <c r="B1082" s="10"/>
      <c r="C1082" s="10"/>
    </row>
    <row r="1083" spans="1:3" x14ac:dyDescent="0.25">
      <c r="A1083" s="10"/>
      <c r="B1083" s="10"/>
      <c r="C1083" s="10"/>
    </row>
    <row r="1084" spans="1:3" x14ac:dyDescent="0.25">
      <c r="A1084" s="10"/>
      <c r="B1084" s="10"/>
      <c r="C1084" s="10"/>
    </row>
    <row r="1085" spans="1:3" x14ac:dyDescent="0.25">
      <c r="A1085" s="10"/>
      <c r="B1085" s="10"/>
      <c r="C1085" s="10"/>
    </row>
    <row r="1086" spans="1:3" x14ac:dyDescent="0.25">
      <c r="A1086" s="10"/>
      <c r="B1086" s="10"/>
      <c r="C1086" s="10"/>
    </row>
    <row r="1087" spans="1:3" x14ac:dyDescent="0.25">
      <c r="A1087" s="10"/>
      <c r="B1087" s="10"/>
      <c r="C1087" s="10"/>
    </row>
    <row r="1088" spans="1:3" x14ac:dyDescent="0.25">
      <c r="A1088" s="10"/>
      <c r="B1088" s="10"/>
      <c r="C1088" s="10"/>
    </row>
    <row r="1089" spans="1:3" x14ac:dyDescent="0.25">
      <c r="A1089" s="10"/>
      <c r="B1089" s="10"/>
      <c r="C1089" s="10"/>
    </row>
    <row r="1090" spans="1:3" x14ac:dyDescent="0.25">
      <c r="A1090" s="10"/>
      <c r="B1090" s="10"/>
      <c r="C1090" s="10"/>
    </row>
    <row r="1091" spans="1:3" x14ac:dyDescent="0.25">
      <c r="A1091" s="10"/>
      <c r="B1091" s="10"/>
      <c r="C1091" s="10"/>
    </row>
    <row r="1092" spans="1:3" x14ac:dyDescent="0.25">
      <c r="A1092" s="10"/>
      <c r="B1092" s="10"/>
      <c r="C1092" s="10"/>
    </row>
    <row r="1093" spans="1:3" x14ac:dyDescent="0.25">
      <c r="A1093" s="10"/>
      <c r="B1093" s="10"/>
      <c r="C1093" s="10"/>
    </row>
    <row r="1094" spans="1:3" x14ac:dyDescent="0.25">
      <c r="A1094" s="10"/>
      <c r="B1094" s="10"/>
      <c r="C1094" s="10"/>
    </row>
    <row r="1095" spans="1:3" x14ac:dyDescent="0.25">
      <c r="A1095" s="10"/>
      <c r="B1095" s="10"/>
      <c r="C1095" s="10"/>
    </row>
    <row r="1096" spans="1:3" x14ac:dyDescent="0.25">
      <c r="A1096" s="10"/>
      <c r="B1096" s="10"/>
      <c r="C1096" s="10"/>
    </row>
    <row r="1097" spans="1:3" x14ac:dyDescent="0.25">
      <c r="A1097" s="10"/>
      <c r="B1097" s="10"/>
      <c r="C1097" s="10"/>
    </row>
    <row r="1098" spans="1:3" x14ac:dyDescent="0.25">
      <c r="A1098" s="10"/>
      <c r="B1098" s="10"/>
      <c r="C1098" s="10"/>
    </row>
    <row r="1099" spans="1:3" x14ac:dyDescent="0.25">
      <c r="A1099" s="10"/>
      <c r="B1099" s="10"/>
      <c r="C1099" s="10"/>
    </row>
    <row r="1100" spans="1:3" x14ac:dyDescent="0.25">
      <c r="A1100" s="10"/>
      <c r="B1100" s="10"/>
      <c r="C1100" s="10"/>
    </row>
    <row r="1101" spans="1:3" x14ac:dyDescent="0.25">
      <c r="A1101" s="10"/>
      <c r="B1101" s="10"/>
      <c r="C1101" s="10"/>
    </row>
    <row r="1102" spans="1:3" x14ac:dyDescent="0.25">
      <c r="A1102" s="10"/>
      <c r="B1102" s="10"/>
      <c r="C1102" s="10"/>
    </row>
    <row r="1103" spans="1:3" x14ac:dyDescent="0.25">
      <c r="A1103" s="10"/>
      <c r="B1103" s="10"/>
      <c r="C1103" s="10"/>
    </row>
    <row r="1104" spans="1:3" x14ac:dyDescent="0.25">
      <c r="A1104" s="10"/>
      <c r="B1104" s="10"/>
      <c r="C1104" s="10"/>
    </row>
    <row r="1105" spans="1:3" x14ac:dyDescent="0.25">
      <c r="A1105" s="10"/>
      <c r="B1105" s="10"/>
      <c r="C1105" s="10"/>
    </row>
    <row r="1106" spans="1:3" x14ac:dyDescent="0.25">
      <c r="A1106" s="10"/>
      <c r="B1106" s="10"/>
      <c r="C1106" s="10"/>
    </row>
    <row r="1107" spans="1:3" x14ac:dyDescent="0.25">
      <c r="A1107" s="10"/>
      <c r="B1107" s="10"/>
      <c r="C1107" s="10"/>
    </row>
    <row r="1108" spans="1:3" x14ac:dyDescent="0.25">
      <c r="A1108" s="10"/>
      <c r="B1108" s="10"/>
      <c r="C1108" s="10"/>
    </row>
    <row r="1109" spans="1:3" x14ac:dyDescent="0.25">
      <c r="A1109" s="10"/>
      <c r="B1109" s="10"/>
      <c r="C1109" s="10"/>
    </row>
    <row r="1110" spans="1:3" x14ac:dyDescent="0.25">
      <c r="A1110" s="10"/>
      <c r="B1110" s="10"/>
      <c r="C1110" s="10"/>
    </row>
    <row r="1111" spans="1:3" x14ac:dyDescent="0.25">
      <c r="A1111" s="10"/>
      <c r="B1111" s="10"/>
      <c r="C1111" s="10"/>
    </row>
    <row r="1112" spans="1:3" x14ac:dyDescent="0.25">
      <c r="A1112" s="10"/>
      <c r="B1112" s="10"/>
      <c r="C1112" s="10"/>
    </row>
    <row r="1113" spans="1:3" x14ac:dyDescent="0.25">
      <c r="A1113" s="10"/>
      <c r="B1113" s="10"/>
      <c r="C1113" s="10"/>
    </row>
    <row r="1114" spans="1:3" x14ac:dyDescent="0.25">
      <c r="A1114" s="10"/>
      <c r="B1114" s="10"/>
      <c r="C1114" s="10"/>
    </row>
    <row r="1115" spans="1:3" x14ac:dyDescent="0.25">
      <c r="A1115" s="10"/>
      <c r="B1115" s="10"/>
      <c r="C1115" s="10"/>
    </row>
    <row r="1116" spans="1:3" x14ac:dyDescent="0.25">
      <c r="A1116" s="10"/>
      <c r="B1116" s="10"/>
      <c r="C1116" s="10"/>
    </row>
    <row r="1117" spans="1:3" x14ac:dyDescent="0.25">
      <c r="A1117" s="10"/>
      <c r="B1117" s="10"/>
      <c r="C1117" s="10"/>
    </row>
    <row r="1118" spans="1:3" x14ac:dyDescent="0.25">
      <c r="A1118" s="10"/>
      <c r="B1118" s="10"/>
      <c r="C1118" s="10"/>
    </row>
    <row r="1119" spans="1:3" x14ac:dyDescent="0.25">
      <c r="A1119" s="10"/>
      <c r="B1119" s="10"/>
      <c r="C1119" s="10"/>
    </row>
    <row r="1120" spans="1:3" x14ac:dyDescent="0.25">
      <c r="A1120" s="10"/>
      <c r="B1120" s="10"/>
      <c r="C1120" s="10"/>
    </row>
    <row r="1121" spans="1:3" x14ac:dyDescent="0.25">
      <c r="A1121" s="10"/>
      <c r="B1121" s="10"/>
      <c r="C1121" s="10"/>
    </row>
    <row r="1122" spans="1:3" x14ac:dyDescent="0.25">
      <c r="A1122" s="10"/>
      <c r="B1122" s="10"/>
      <c r="C1122" s="10"/>
    </row>
    <row r="1123" spans="1:3" x14ac:dyDescent="0.25">
      <c r="A1123" s="10"/>
      <c r="B1123" s="10"/>
      <c r="C1123" s="10"/>
    </row>
    <row r="1124" spans="1:3" x14ac:dyDescent="0.25">
      <c r="A1124" s="10"/>
      <c r="B1124" s="10"/>
      <c r="C1124" s="10"/>
    </row>
    <row r="1125" spans="1:3" x14ac:dyDescent="0.25">
      <c r="A1125" s="10"/>
      <c r="B1125" s="10"/>
      <c r="C1125" s="10"/>
    </row>
    <row r="1126" spans="1:3" x14ac:dyDescent="0.25">
      <c r="A1126" s="10"/>
      <c r="B1126" s="10"/>
      <c r="C1126" s="10"/>
    </row>
    <row r="1127" spans="1:3" x14ac:dyDescent="0.25">
      <c r="A1127" s="10"/>
      <c r="B1127" s="10"/>
      <c r="C1127" s="10"/>
    </row>
    <row r="1128" spans="1:3" x14ac:dyDescent="0.25">
      <c r="A1128" s="10"/>
      <c r="B1128" s="10"/>
      <c r="C1128" s="10"/>
    </row>
    <row r="1129" spans="1:3" x14ac:dyDescent="0.25">
      <c r="A1129" s="10"/>
      <c r="B1129" s="10"/>
      <c r="C1129" s="10"/>
    </row>
    <row r="1130" spans="1:3" x14ac:dyDescent="0.25">
      <c r="A1130" s="10"/>
      <c r="B1130" s="10"/>
      <c r="C1130" s="10"/>
    </row>
    <row r="1131" spans="1:3" x14ac:dyDescent="0.25">
      <c r="A1131" s="10"/>
      <c r="B1131" s="10"/>
      <c r="C1131" s="10"/>
    </row>
    <row r="1132" spans="1:3" x14ac:dyDescent="0.25">
      <c r="A1132" s="10"/>
      <c r="B1132" s="10"/>
      <c r="C1132" s="10"/>
    </row>
    <row r="1133" spans="1:3" x14ac:dyDescent="0.25">
      <c r="A1133" s="10"/>
      <c r="B1133" s="10"/>
      <c r="C1133" s="10"/>
    </row>
    <row r="1134" spans="1:3" x14ac:dyDescent="0.25">
      <c r="A1134" s="10"/>
      <c r="B1134" s="10"/>
      <c r="C1134" s="10"/>
    </row>
    <row r="1135" spans="1:3" x14ac:dyDescent="0.25">
      <c r="A1135" s="10"/>
      <c r="B1135" s="10"/>
      <c r="C1135" s="10"/>
    </row>
    <row r="1136" spans="1:3" x14ac:dyDescent="0.25">
      <c r="A1136" s="10"/>
      <c r="B1136" s="10"/>
      <c r="C1136" s="10"/>
    </row>
    <row r="1137" spans="1:3" x14ac:dyDescent="0.25">
      <c r="A1137" s="10"/>
      <c r="B1137" s="10"/>
      <c r="C1137" s="10"/>
    </row>
    <row r="1138" spans="1:3" x14ac:dyDescent="0.25">
      <c r="A1138" s="10"/>
      <c r="B1138" s="10"/>
      <c r="C1138" s="10"/>
    </row>
    <row r="1139" spans="1:3" x14ac:dyDescent="0.25">
      <c r="A1139" s="10"/>
      <c r="B1139" s="10"/>
      <c r="C1139" s="10"/>
    </row>
    <row r="1140" spans="1:3" x14ac:dyDescent="0.25">
      <c r="A1140" s="10"/>
      <c r="B1140" s="10"/>
      <c r="C1140" s="10"/>
    </row>
    <row r="1141" spans="1:3" x14ac:dyDescent="0.25">
      <c r="A1141" s="10"/>
      <c r="B1141" s="10"/>
      <c r="C1141" s="10"/>
    </row>
    <row r="1142" spans="1:3" x14ac:dyDescent="0.25">
      <c r="A1142" s="10"/>
      <c r="B1142" s="10"/>
      <c r="C1142" s="10"/>
    </row>
    <row r="1143" spans="1:3" x14ac:dyDescent="0.25">
      <c r="A1143" s="10"/>
      <c r="B1143" s="10"/>
      <c r="C1143" s="10"/>
    </row>
    <row r="1144" spans="1:3" x14ac:dyDescent="0.25">
      <c r="A1144" s="10"/>
      <c r="B1144" s="10"/>
      <c r="C1144" s="10"/>
    </row>
    <row r="1145" spans="1:3" x14ac:dyDescent="0.25">
      <c r="A1145" s="10"/>
      <c r="B1145" s="10"/>
      <c r="C1145" s="10"/>
    </row>
    <row r="1146" spans="1:3" x14ac:dyDescent="0.25">
      <c r="A1146" s="10"/>
      <c r="B1146" s="10"/>
      <c r="C1146" s="10"/>
    </row>
    <row r="1147" spans="1:3" x14ac:dyDescent="0.25">
      <c r="A1147" s="10"/>
      <c r="B1147" s="10"/>
      <c r="C1147" s="10"/>
    </row>
    <row r="1148" spans="1:3" x14ac:dyDescent="0.25">
      <c r="A1148" s="10"/>
      <c r="B1148" s="10"/>
      <c r="C1148" s="10"/>
    </row>
    <row r="1149" spans="1:3" x14ac:dyDescent="0.25">
      <c r="A1149" s="10"/>
      <c r="B1149" s="10"/>
      <c r="C1149" s="10"/>
    </row>
    <row r="1150" spans="1:3" x14ac:dyDescent="0.25">
      <c r="A1150" s="10"/>
      <c r="B1150" s="10"/>
      <c r="C1150" s="10"/>
    </row>
    <row r="1151" spans="1:3" x14ac:dyDescent="0.25">
      <c r="A1151" s="10"/>
      <c r="B1151" s="10"/>
      <c r="C1151" s="10"/>
    </row>
    <row r="1152" spans="1:3" x14ac:dyDescent="0.25">
      <c r="A1152" s="10"/>
      <c r="B1152" s="10"/>
      <c r="C1152" s="10"/>
    </row>
    <row r="1153" spans="1:3" x14ac:dyDescent="0.25">
      <c r="A1153" s="10"/>
      <c r="B1153" s="10"/>
      <c r="C1153" s="10"/>
    </row>
    <row r="1154" spans="1:3" x14ac:dyDescent="0.25">
      <c r="A1154" s="10"/>
      <c r="B1154" s="10"/>
      <c r="C1154" s="10"/>
    </row>
    <row r="1155" spans="1:3" x14ac:dyDescent="0.25">
      <c r="A1155" s="10"/>
      <c r="B1155" s="10"/>
      <c r="C1155" s="10"/>
    </row>
    <row r="1156" spans="1:3" x14ac:dyDescent="0.25">
      <c r="A1156" s="10"/>
      <c r="B1156" s="10"/>
      <c r="C1156" s="10"/>
    </row>
    <row r="1157" spans="1:3" x14ac:dyDescent="0.25">
      <c r="A1157" s="10"/>
      <c r="B1157" s="10"/>
      <c r="C1157" s="10"/>
    </row>
    <row r="1158" spans="1:3" x14ac:dyDescent="0.25">
      <c r="A1158" s="10"/>
      <c r="B1158" s="10"/>
      <c r="C1158" s="10"/>
    </row>
    <row r="1159" spans="1:3" x14ac:dyDescent="0.25">
      <c r="A1159" s="10"/>
      <c r="B1159" s="10"/>
      <c r="C1159" s="10"/>
    </row>
    <row r="1160" spans="1:3" x14ac:dyDescent="0.25">
      <c r="A1160" s="10"/>
      <c r="B1160" s="10"/>
      <c r="C1160" s="10"/>
    </row>
    <row r="1161" spans="1:3" x14ac:dyDescent="0.25">
      <c r="A1161" s="10"/>
      <c r="B1161" s="10"/>
      <c r="C1161" s="10"/>
    </row>
    <row r="1162" spans="1:3" x14ac:dyDescent="0.25">
      <c r="A1162" s="10"/>
      <c r="B1162" s="10"/>
      <c r="C1162" s="10"/>
    </row>
    <row r="1163" spans="1:3" x14ac:dyDescent="0.25">
      <c r="A1163" s="10"/>
      <c r="B1163" s="10"/>
      <c r="C1163" s="10"/>
    </row>
    <row r="1164" spans="1:3" x14ac:dyDescent="0.25">
      <c r="A1164" s="10"/>
      <c r="B1164" s="10"/>
      <c r="C1164" s="10"/>
    </row>
    <row r="1165" spans="1:3" x14ac:dyDescent="0.25">
      <c r="A1165" s="10"/>
      <c r="B1165" s="10"/>
      <c r="C1165" s="10"/>
    </row>
    <row r="1166" spans="1:3" x14ac:dyDescent="0.25">
      <c r="A1166" s="10"/>
      <c r="B1166" s="10"/>
      <c r="C1166" s="10"/>
    </row>
    <row r="1167" spans="1:3" x14ac:dyDescent="0.25">
      <c r="A1167" s="10"/>
      <c r="B1167" s="10"/>
      <c r="C1167" s="10"/>
    </row>
    <row r="1168" spans="1:3" x14ac:dyDescent="0.25">
      <c r="A1168" s="10"/>
      <c r="B1168" s="10"/>
      <c r="C1168" s="10"/>
    </row>
    <row r="1169" spans="1:3" x14ac:dyDescent="0.25">
      <c r="A1169" s="10"/>
      <c r="B1169" s="10"/>
      <c r="C1169" s="10"/>
    </row>
    <row r="1170" spans="1:3" x14ac:dyDescent="0.25">
      <c r="A1170" s="10"/>
      <c r="B1170" s="10"/>
      <c r="C1170" s="10"/>
    </row>
    <row r="1171" spans="1:3" x14ac:dyDescent="0.25">
      <c r="A1171" s="10"/>
      <c r="B1171" s="10"/>
      <c r="C1171" s="10"/>
    </row>
    <row r="1172" spans="1:3" x14ac:dyDescent="0.25">
      <c r="A1172" s="10"/>
      <c r="B1172" s="10"/>
      <c r="C1172" s="10"/>
    </row>
    <row r="1173" spans="1:3" x14ac:dyDescent="0.25">
      <c r="A1173" s="10"/>
      <c r="B1173" s="10"/>
      <c r="C1173" s="10"/>
    </row>
    <row r="1174" spans="1:3" x14ac:dyDescent="0.25">
      <c r="A1174" s="10"/>
      <c r="B1174" s="10"/>
      <c r="C1174" s="10"/>
    </row>
    <row r="1175" spans="1:3" x14ac:dyDescent="0.25">
      <c r="A1175" s="10"/>
      <c r="B1175" s="10"/>
      <c r="C1175" s="10"/>
    </row>
    <row r="1176" spans="1:3" x14ac:dyDescent="0.25">
      <c r="A1176" s="10"/>
      <c r="B1176" s="10"/>
      <c r="C1176" s="10"/>
    </row>
    <row r="1177" spans="1:3" x14ac:dyDescent="0.25">
      <c r="A1177" s="10"/>
      <c r="B1177" s="10"/>
      <c r="C1177" s="10"/>
    </row>
    <row r="1178" spans="1:3" x14ac:dyDescent="0.25">
      <c r="A1178" s="10"/>
      <c r="B1178" s="10"/>
      <c r="C1178" s="10"/>
    </row>
    <row r="1179" spans="1:3" x14ac:dyDescent="0.25">
      <c r="A1179" s="10"/>
      <c r="B1179" s="10"/>
      <c r="C1179" s="10"/>
    </row>
    <row r="1180" spans="1:3" x14ac:dyDescent="0.25">
      <c r="A1180" s="10"/>
      <c r="B1180" s="10"/>
      <c r="C1180" s="10"/>
    </row>
    <row r="1181" spans="1:3" x14ac:dyDescent="0.25">
      <c r="A1181" s="10"/>
      <c r="B1181" s="10"/>
      <c r="C1181" s="10"/>
    </row>
    <row r="1182" spans="1:3" x14ac:dyDescent="0.25">
      <c r="A1182" s="10"/>
      <c r="B1182" s="10"/>
      <c r="C1182" s="10"/>
    </row>
    <row r="1183" spans="1:3" x14ac:dyDescent="0.25">
      <c r="A1183" s="10"/>
      <c r="B1183" s="10"/>
      <c r="C1183" s="10"/>
    </row>
    <row r="1184" spans="1:3" x14ac:dyDescent="0.25">
      <c r="A1184" s="10"/>
      <c r="B1184" s="10"/>
      <c r="C1184" s="10"/>
    </row>
    <row r="1185" spans="1:3" x14ac:dyDescent="0.25">
      <c r="A1185" s="10"/>
      <c r="B1185" s="10"/>
      <c r="C1185" s="10"/>
    </row>
    <row r="1186" spans="1:3" x14ac:dyDescent="0.25">
      <c r="A1186" s="10"/>
      <c r="B1186" s="10"/>
      <c r="C1186" s="10"/>
    </row>
    <row r="1187" spans="1:3" x14ac:dyDescent="0.25">
      <c r="A1187" s="10"/>
      <c r="B1187" s="10"/>
      <c r="C1187" s="10"/>
    </row>
    <row r="1188" spans="1:3" x14ac:dyDescent="0.25">
      <c r="A1188" s="10"/>
      <c r="B1188" s="10"/>
      <c r="C1188" s="10"/>
    </row>
    <row r="1189" spans="1:3" x14ac:dyDescent="0.25">
      <c r="A1189" s="10"/>
      <c r="B1189" s="10"/>
      <c r="C1189" s="10"/>
    </row>
    <row r="1190" spans="1:3" x14ac:dyDescent="0.25">
      <c r="A1190" s="10"/>
      <c r="B1190" s="10"/>
      <c r="C1190" s="10"/>
    </row>
    <row r="1191" spans="1:3" x14ac:dyDescent="0.25">
      <c r="A1191" s="10"/>
      <c r="B1191" s="10"/>
      <c r="C1191" s="10"/>
    </row>
    <row r="1192" spans="1:3" x14ac:dyDescent="0.25">
      <c r="A1192" s="10"/>
      <c r="B1192" s="10"/>
      <c r="C1192" s="10"/>
    </row>
    <row r="1193" spans="1:3" x14ac:dyDescent="0.25">
      <c r="A1193" s="10"/>
      <c r="B1193" s="10"/>
      <c r="C1193" s="10"/>
    </row>
    <row r="1194" spans="1:3" x14ac:dyDescent="0.25">
      <c r="A1194" s="10"/>
      <c r="B1194" s="10"/>
      <c r="C1194" s="10"/>
    </row>
    <row r="1195" spans="1:3" x14ac:dyDescent="0.25">
      <c r="A1195" s="10"/>
      <c r="B1195" s="10"/>
      <c r="C1195" s="10"/>
    </row>
    <row r="1196" spans="1:3" x14ac:dyDescent="0.25">
      <c r="A1196" s="10"/>
      <c r="B1196" s="10"/>
      <c r="C1196" s="10"/>
    </row>
    <row r="1197" spans="1:3" x14ac:dyDescent="0.25">
      <c r="A1197" s="10"/>
      <c r="B1197" s="10"/>
      <c r="C1197" s="10"/>
    </row>
    <row r="1198" spans="1:3" x14ac:dyDescent="0.25">
      <c r="A1198" s="10"/>
      <c r="B1198" s="10"/>
      <c r="C1198" s="10"/>
    </row>
    <row r="1199" spans="1:3" x14ac:dyDescent="0.25">
      <c r="A1199" s="10"/>
      <c r="B1199" s="10"/>
      <c r="C1199" s="10"/>
    </row>
    <row r="1200" spans="1:3" x14ac:dyDescent="0.25">
      <c r="A1200" s="10"/>
      <c r="B1200" s="10"/>
      <c r="C1200" s="10"/>
    </row>
    <row r="1201" spans="1:3" x14ac:dyDescent="0.25">
      <c r="A1201" s="10"/>
      <c r="B1201" s="10"/>
      <c r="C1201" s="10"/>
    </row>
    <row r="1202" spans="1:3" x14ac:dyDescent="0.25">
      <c r="A1202" s="10"/>
      <c r="B1202" s="10"/>
      <c r="C1202" s="10"/>
    </row>
    <row r="1203" spans="1:3" x14ac:dyDescent="0.25">
      <c r="A1203" s="10"/>
      <c r="B1203" s="10"/>
      <c r="C1203" s="10"/>
    </row>
    <row r="1204" spans="1:3" x14ac:dyDescent="0.25">
      <c r="A1204" s="10"/>
      <c r="B1204" s="10"/>
      <c r="C1204" s="10"/>
    </row>
    <row r="1205" spans="1:3" x14ac:dyDescent="0.25">
      <c r="A1205" s="10"/>
      <c r="B1205" s="10"/>
      <c r="C1205" s="10"/>
    </row>
    <row r="1206" spans="1:3" x14ac:dyDescent="0.25">
      <c r="A1206" s="10"/>
      <c r="B1206" s="10"/>
      <c r="C1206" s="10"/>
    </row>
    <row r="1207" spans="1:3" x14ac:dyDescent="0.25">
      <c r="A1207" s="10"/>
      <c r="B1207" s="10"/>
      <c r="C1207" s="10"/>
    </row>
    <row r="1208" spans="1:3" x14ac:dyDescent="0.25">
      <c r="A1208" s="10"/>
      <c r="B1208" s="10"/>
      <c r="C1208" s="10"/>
    </row>
    <row r="1209" spans="1:3" x14ac:dyDescent="0.25">
      <c r="A1209" s="10"/>
      <c r="B1209" s="10"/>
      <c r="C1209" s="10"/>
    </row>
    <row r="1210" spans="1:3" x14ac:dyDescent="0.25">
      <c r="A1210" s="10"/>
      <c r="B1210" s="10"/>
      <c r="C1210" s="10"/>
    </row>
    <row r="1211" spans="1:3" x14ac:dyDescent="0.25">
      <c r="A1211" s="10"/>
      <c r="B1211" s="10"/>
      <c r="C1211" s="10"/>
    </row>
    <row r="1212" spans="1:3" x14ac:dyDescent="0.25">
      <c r="A1212" s="10"/>
      <c r="B1212" s="10"/>
      <c r="C1212" s="10"/>
    </row>
    <row r="1213" spans="1:3" x14ac:dyDescent="0.25">
      <c r="A1213" s="10"/>
      <c r="B1213" s="10"/>
      <c r="C1213" s="10"/>
    </row>
    <row r="1214" spans="1:3" x14ac:dyDescent="0.25">
      <c r="A1214" s="10"/>
      <c r="B1214" s="10"/>
      <c r="C1214" s="10"/>
    </row>
    <row r="1215" spans="1:3" x14ac:dyDescent="0.25">
      <c r="A1215" s="10"/>
      <c r="B1215" s="10"/>
      <c r="C1215" s="10"/>
    </row>
    <row r="1216" spans="1:3" x14ac:dyDescent="0.25">
      <c r="A1216" s="10"/>
      <c r="B1216" s="10"/>
      <c r="C1216" s="10"/>
    </row>
    <row r="1217" spans="1:3" x14ac:dyDescent="0.25">
      <c r="A1217" s="10"/>
      <c r="B1217" s="10"/>
      <c r="C1217" s="10"/>
    </row>
    <row r="1218" spans="1:3" x14ac:dyDescent="0.25">
      <c r="A1218" s="10"/>
      <c r="B1218" s="10"/>
      <c r="C1218" s="10"/>
    </row>
    <row r="1219" spans="1:3" x14ac:dyDescent="0.25">
      <c r="A1219" s="10"/>
      <c r="B1219" s="10"/>
      <c r="C1219" s="10"/>
    </row>
    <row r="1220" spans="1:3" x14ac:dyDescent="0.25">
      <c r="A1220" s="10"/>
      <c r="B1220" s="10"/>
      <c r="C1220" s="10"/>
    </row>
    <row r="1221" spans="1:3" x14ac:dyDescent="0.25">
      <c r="A1221" s="10"/>
      <c r="B1221" s="10"/>
      <c r="C1221" s="10"/>
    </row>
    <row r="1222" spans="1:3" x14ac:dyDescent="0.25">
      <c r="A1222" s="10"/>
      <c r="B1222" s="10"/>
      <c r="C1222" s="10"/>
    </row>
    <row r="1223" spans="1:3" x14ac:dyDescent="0.25">
      <c r="A1223" s="10"/>
      <c r="B1223" s="10"/>
      <c r="C1223" s="10"/>
    </row>
    <row r="1224" spans="1:3" x14ac:dyDescent="0.25">
      <c r="A1224" s="10"/>
      <c r="B1224" s="10"/>
      <c r="C1224" s="10"/>
    </row>
    <row r="1225" spans="1:3" x14ac:dyDescent="0.25">
      <c r="A1225" s="10"/>
      <c r="B1225" s="10"/>
      <c r="C1225" s="10"/>
    </row>
    <row r="1226" spans="1:3" x14ac:dyDescent="0.25">
      <c r="A1226" s="10"/>
      <c r="B1226" s="10"/>
      <c r="C1226" s="10"/>
    </row>
    <row r="1227" spans="1:3" x14ac:dyDescent="0.25">
      <c r="A1227" s="10"/>
      <c r="B1227" s="10"/>
      <c r="C1227" s="10"/>
    </row>
    <row r="1228" spans="1:3" x14ac:dyDescent="0.25">
      <c r="A1228" s="10"/>
      <c r="B1228" s="10"/>
      <c r="C1228" s="10"/>
    </row>
    <row r="1229" spans="1:3" x14ac:dyDescent="0.25">
      <c r="A1229" s="10"/>
      <c r="B1229" s="10"/>
      <c r="C1229" s="10"/>
    </row>
    <row r="1230" spans="1:3" x14ac:dyDescent="0.25">
      <c r="A1230" s="10"/>
      <c r="B1230" s="10"/>
      <c r="C1230" s="10"/>
    </row>
    <row r="1231" spans="1:3" x14ac:dyDescent="0.25">
      <c r="A1231" s="10"/>
      <c r="B1231" s="10"/>
      <c r="C1231" s="10"/>
    </row>
    <row r="1232" spans="1:3" x14ac:dyDescent="0.25">
      <c r="A1232" s="10"/>
      <c r="B1232" s="10"/>
      <c r="C1232" s="10"/>
    </row>
    <row r="1233" spans="1:3" x14ac:dyDescent="0.25">
      <c r="A1233" s="10"/>
      <c r="B1233" s="10"/>
      <c r="C1233" s="10"/>
    </row>
    <row r="1234" spans="1:3" x14ac:dyDescent="0.25">
      <c r="A1234" s="10"/>
      <c r="B1234" s="10"/>
      <c r="C1234" s="10"/>
    </row>
    <row r="1235" spans="1:3" x14ac:dyDescent="0.25">
      <c r="A1235" s="10"/>
      <c r="B1235" s="10"/>
      <c r="C1235" s="10"/>
    </row>
    <row r="1236" spans="1:3" x14ac:dyDescent="0.25">
      <c r="A1236" s="10"/>
      <c r="B1236" s="10"/>
      <c r="C1236" s="10"/>
    </row>
    <row r="1237" spans="1:3" x14ac:dyDescent="0.25">
      <c r="A1237" s="10"/>
      <c r="B1237" s="10"/>
      <c r="C1237" s="10"/>
    </row>
    <row r="1238" spans="1:3" x14ac:dyDescent="0.25">
      <c r="A1238" s="10"/>
      <c r="B1238" s="10"/>
      <c r="C1238" s="10"/>
    </row>
    <row r="1239" spans="1:3" x14ac:dyDescent="0.25">
      <c r="A1239" s="10"/>
      <c r="B1239" s="10"/>
      <c r="C1239" s="10"/>
    </row>
    <row r="1240" spans="1:3" x14ac:dyDescent="0.25">
      <c r="A1240" s="10"/>
      <c r="B1240" s="10"/>
      <c r="C1240" s="10"/>
    </row>
    <row r="1241" spans="1:3" x14ac:dyDescent="0.25">
      <c r="A1241" s="10"/>
      <c r="B1241" s="10"/>
      <c r="C1241" s="10"/>
    </row>
    <row r="1242" spans="1:3" x14ac:dyDescent="0.25">
      <c r="A1242" s="10"/>
      <c r="B1242" s="10"/>
      <c r="C1242" s="10"/>
    </row>
    <row r="1243" spans="1:3" x14ac:dyDescent="0.25">
      <c r="A1243" s="10"/>
      <c r="B1243" s="10"/>
      <c r="C1243" s="10"/>
    </row>
    <row r="1244" spans="1:3" x14ac:dyDescent="0.25">
      <c r="A1244" s="10"/>
      <c r="B1244" s="10"/>
      <c r="C1244" s="10"/>
    </row>
    <row r="1245" spans="1:3" x14ac:dyDescent="0.25">
      <c r="A1245" s="10"/>
      <c r="B1245" s="10"/>
      <c r="C1245" s="10"/>
    </row>
    <row r="1246" spans="1:3" x14ac:dyDescent="0.25">
      <c r="A1246" s="10"/>
      <c r="B1246" s="10"/>
      <c r="C1246" s="10"/>
    </row>
    <row r="1247" spans="1:3" x14ac:dyDescent="0.25">
      <c r="A1247" s="10"/>
      <c r="B1247" s="10"/>
      <c r="C1247" s="10"/>
    </row>
    <row r="1248" spans="1:3" x14ac:dyDescent="0.25">
      <c r="A1248" s="10"/>
      <c r="B1248" s="10"/>
      <c r="C1248" s="10"/>
    </row>
    <row r="1249" spans="1:3" x14ac:dyDescent="0.25">
      <c r="A1249" s="10"/>
      <c r="B1249" s="10"/>
      <c r="C1249" s="10"/>
    </row>
    <row r="1250" spans="1:3" x14ac:dyDescent="0.25">
      <c r="A1250" s="10"/>
      <c r="B1250" s="10"/>
      <c r="C1250" s="10"/>
    </row>
    <row r="1251" spans="1:3" x14ac:dyDescent="0.25">
      <c r="A1251" s="10"/>
      <c r="B1251" s="10"/>
      <c r="C1251" s="10"/>
    </row>
    <row r="1252" spans="1:3" x14ac:dyDescent="0.25">
      <c r="A1252" s="10"/>
      <c r="B1252" s="10"/>
      <c r="C1252" s="10"/>
    </row>
    <row r="1253" spans="1:3" x14ac:dyDescent="0.25">
      <c r="A1253" s="10"/>
      <c r="B1253" s="10"/>
      <c r="C1253" s="10"/>
    </row>
    <row r="1254" spans="1:3" x14ac:dyDescent="0.25">
      <c r="A1254" s="10"/>
      <c r="B1254" s="10"/>
      <c r="C1254" s="10"/>
    </row>
    <row r="1255" spans="1:3" x14ac:dyDescent="0.25">
      <c r="A1255" s="10"/>
      <c r="B1255" s="10"/>
      <c r="C1255" s="10"/>
    </row>
    <row r="1256" spans="1:3" x14ac:dyDescent="0.25">
      <c r="A1256" s="10"/>
      <c r="B1256" s="10"/>
      <c r="C1256" s="10"/>
    </row>
    <row r="1257" spans="1:3" x14ac:dyDescent="0.25">
      <c r="A1257" s="10"/>
      <c r="B1257" s="10"/>
      <c r="C1257" s="10"/>
    </row>
    <row r="1258" spans="1:3" x14ac:dyDescent="0.25">
      <c r="A1258" s="10"/>
      <c r="B1258" s="10"/>
      <c r="C1258" s="10"/>
    </row>
    <row r="1259" spans="1:3" x14ac:dyDescent="0.25">
      <c r="A1259" s="10"/>
      <c r="B1259" s="10"/>
      <c r="C1259" s="10"/>
    </row>
    <row r="1260" spans="1:3" x14ac:dyDescent="0.25">
      <c r="A1260" s="10"/>
      <c r="B1260" s="10"/>
      <c r="C1260" s="10"/>
    </row>
    <row r="1261" spans="1:3" x14ac:dyDescent="0.25">
      <c r="A1261" s="10"/>
      <c r="B1261" s="10"/>
      <c r="C1261" s="10"/>
    </row>
    <row r="1262" spans="1:3" x14ac:dyDescent="0.25">
      <c r="A1262" s="10"/>
      <c r="B1262" s="10"/>
      <c r="C1262" s="10"/>
    </row>
    <row r="1263" spans="1:3" x14ac:dyDescent="0.25">
      <c r="A1263" s="10"/>
      <c r="B1263" s="10"/>
      <c r="C1263" s="10"/>
    </row>
    <row r="1264" spans="1:3" x14ac:dyDescent="0.25">
      <c r="A1264" s="10"/>
      <c r="B1264" s="10"/>
      <c r="C1264" s="10"/>
    </row>
    <row r="1265" spans="1:3" x14ac:dyDescent="0.25">
      <c r="A1265" s="10"/>
      <c r="B1265" s="10"/>
      <c r="C1265" s="10"/>
    </row>
    <row r="1266" spans="1:3" x14ac:dyDescent="0.25">
      <c r="A1266" s="10"/>
      <c r="B1266" s="10"/>
      <c r="C1266" s="10"/>
    </row>
    <row r="1267" spans="1:3" x14ac:dyDescent="0.25">
      <c r="A1267" s="10"/>
      <c r="B1267" s="10"/>
      <c r="C1267" s="10"/>
    </row>
    <row r="1268" spans="1:3" x14ac:dyDescent="0.25">
      <c r="A1268" s="10"/>
      <c r="B1268" s="10"/>
      <c r="C1268" s="10"/>
    </row>
    <row r="1269" spans="1:3" x14ac:dyDescent="0.25">
      <c r="A1269" s="10"/>
      <c r="B1269" s="10"/>
      <c r="C1269" s="10"/>
    </row>
    <row r="1270" spans="1:3" x14ac:dyDescent="0.25">
      <c r="A1270" s="10"/>
      <c r="B1270" s="10"/>
      <c r="C1270" s="10"/>
    </row>
    <row r="1271" spans="1:3" x14ac:dyDescent="0.25">
      <c r="A1271" s="10"/>
      <c r="B1271" s="10"/>
      <c r="C1271" s="10"/>
    </row>
    <row r="1272" spans="1:3" x14ac:dyDescent="0.25">
      <c r="A1272" s="10"/>
      <c r="B1272" s="10"/>
      <c r="C1272" s="10"/>
    </row>
    <row r="1273" spans="1:3" x14ac:dyDescent="0.25">
      <c r="A1273" s="10"/>
      <c r="B1273" s="10"/>
      <c r="C1273" s="10"/>
    </row>
    <row r="1274" spans="1:3" x14ac:dyDescent="0.25">
      <c r="A1274" s="10"/>
      <c r="B1274" s="10"/>
      <c r="C1274" s="10"/>
    </row>
    <row r="1275" spans="1:3" x14ac:dyDescent="0.25">
      <c r="A1275" s="10"/>
      <c r="B1275" s="10"/>
      <c r="C1275" s="10"/>
    </row>
    <row r="1276" spans="1:3" x14ac:dyDescent="0.25">
      <c r="A1276" s="10"/>
      <c r="B1276" s="10"/>
      <c r="C1276" s="10"/>
    </row>
    <row r="1277" spans="1:3" x14ac:dyDescent="0.25">
      <c r="A1277" s="10"/>
      <c r="B1277" s="10"/>
      <c r="C1277" s="10"/>
    </row>
    <row r="1278" spans="1:3" x14ac:dyDescent="0.25">
      <c r="A1278" s="10"/>
      <c r="B1278" s="10"/>
      <c r="C1278" s="10"/>
    </row>
    <row r="1279" spans="1:3" x14ac:dyDescent="0.25">
      <c r="A1279" s="10"/>
      <c r="B1279" s="10"/>
      <c r="C1279" s="10"/>
    </row>
    <row r="1280" spans="1:3" x14ac:dyDescent="0.25">
      <c r="A1280" s="10"/>
      <c r="B1280" s="10"/>
      <c r="C1280" s="10"/>
    </row>
    <row r="1281" spans="1:3" x14ac:dyDescent="0.25">
      <c r="A1281" s="10"/>
      <c r="B1281" s="10"/>
      <c r="C1281" s="10"/>
    </row>
    <row r="1282" spans="1:3" x14ac:dyDescent="0.25">
      <c r="A1282" s="10"/>
      <c r="B1282" s="10"/>
      <c r="C1282" s="10"/>
    </row>
    <row r="1283" spans="1:3" x14ac:dyDescent="0.25">
      <c r="A1283" s="10"/>
      <c r="B1283" s="10"/>
      <c r="C1283" s="10"/>
    </row>
    <row r="1284" spans="1:3" x14ac:dyDescent="0.25">
      <c r="A1284" s="10"/>
      <c r="B1284" s="10"/>
      <c r="C1284" s="10"/>
    </row>
    <row r="1285" spans="1:3" x14ac:dyDescent="0.25">
      <c r="A1285" s="10"/>
      <c r="B1285" s="10"/>
      <c r="C1285" s="10"/>
    </row>
    <row r="1286" spans="1:3" x14ac:dyDescent="0.25">
      <c r="A1286" s="10"/>
      <c r="B1286" s="10"/>
      <c r="C1286" s="10"/>
    </row>
    <row r="1287" spans="1:3" x14ac:dyDescent="0.25">
      <c r="A1287" s="10"/>
      <c r="B1287" s="10"/>
      <c r="C1287" s="10"/>
    </row>
    <row r="1288" spans="1:3" x14ac:dyDescent="0.25">
      <c r="A1288" s="10"/>
      <c r="B1288" s="10"/>
      <c r="C1288" s="10"/>
    </row>
    <row r="1289" spans="1:3" x14ac:dyDescent="0.25">
      <c r="A1289" s="10"/>
      <c r="B1289" s="10"/>
      <c r="C1289" s="10"/>
    </row>
    <row r="1290" spans="1:3" x14ac:dyDescent="0.25">
      <c r="A1290" s="10"/>
      <c r="B1290" s="10"/>
      <c r="C1290" s="10"/>
    </row>
    <row r="1291" spans="1:3" x14ac:dyDescent="0.25">
      <c r="A1291" s="10"/>
      <c r="B1291" s="10"/>
      <c r="C1291" s="10"/>
    </row>
    <row r="1292" spans="1:3" x14ac:dyDescent="0.25">
      <c r="A1292" s="10"/>
      <c r="B1292" s="10"/>
      <c r="C1292" s="10"/>
    </row>
    <row r="1293" spans="1:3" x14ac:dyDescent="0.25">
      <c r="A1293" s="10"/>
      <c r="B1293" s="10"/>
      <c r="C1293" s="10"/>
    </row>
    <row r="1294" spans="1:3" x14ac:dyDescent="0.25">
      <c r="A1294" s="10"/>
      <c r="B1294" s="10"/>
      <c r="C1294" s="10"/>
    </row>
    <row r="1295" spans="1:3" x14ac:dyDescent="0.25">
      <c r="A1295" s="10"/>
      <c r="B1295" s="10"/>
      <c r="C1295" s="10"/>
    </row>
    <row r="1296" spans="1:3" x14ac:dyDescent="0.25">
      <c r="A1296" s="10"/>
      <c r="B1296" s="10"/>
      <c r="C1296" s="10"/>
    </row>
    <row r="1297" spans="1:3" x14ac:dyDescent="0.25">
      <c r="A1297" s="10"/>
      <c r="B1297" s="10"/>
      <c r="C1297" s="10"/>
    </row>
    <row r="1298" spans="1:3" x14ac:dyDescent="0.25">
      <c r="A1298" s="10"/>
      <c r="B1298" s="10"/>
      <c r="C1298" s="10"/>
    </row>
    <row r="1299" spans="1:3" x14ac:dyDescent="0.25">
      <c r="A1299" s="10"/>
      <c r="B1299" s="10"/>
      <c r="C1299" s="10"/>
    </row>
    <row r="1300" spans="1:3" x14ac:dyDescent="0.25">
      <c r="A1300" s="10"/>
      <c r="B1300" s="10"/>
      <c r="C1300" s="10"/>
    </row>
    <row r="1301" spans="1:3" x14ac:dyDescent="0.25">
      <c r="A1301" s="10"/>
      <c r="B1301" s="10"/>
      <c r="C1301" s="10"/>
    </row>
    <row r="1302" spans="1:3" x14ac:dyDescent="0.25">
      <c r="A1302" s="10"/>
      <c r="B1302" s="10"/>
      <c r="C1302" s="10"/>
    </row>
    <row r="1303" spans="1:3" x14ac:dyDescent="0.25">
      <c r="A1303" s="10"/>
      <c r="B1303" s="10"/>
      <c r="C1303" s="10"/>
    </row>
    <row r="1304" spans="1:3" x14ac:dyDescent="0.25">
      <c r="A1304" s="10"/>
      <c r="B1304" s="10"/>
      <c r="C1304" s="10"/>
    </row>
    <row r="1305" spans="1:3" x14ac:dyDescent="0.25">
      <c r="A1305" s="10"/>
      <c r="B1305" s="10"/>
      <c r="C1305" s="10"/>
    </row>
    <row r="1306" spans="1:3" x14ac:dyDescent="0.25">
      <c r="A1306" s="10"/>
      <c r="B1306" s="10"/>
      <c r="C1306" s="10"/>
    </row>
    <row r="1307" spans="1:3" x14ac:dyDescent="0.25">
      <c r="A1307" s="10"/>
      <c r="B1307" s="10"/>
      <c r="C1307" s="10"/>
    </row>
    <row r="1308" spans="1:3" x14ac:dyDescent="0.25">
      <c r="A1308" s="10"/>
      <c r="B1308" s="10"/>
      <c r="C1308" s="10"/>
    </row>
    <row r="1309" spans="1:3" x14ac:dyDescent="0.25">
      <c r="A1309" s="10"/>
      <c r="B1309" s="10"/>
      <c r="C1309" s="10"/>
    </row>
    <row r="1310" spans="1:3" x14ac:dyDescent="0.25">
      <c r="A1310" s="10"/>
      <c r="B1310" s="10"/>
      <c r="C1310" s="10"/>
    </row>
    <row r="1311" spans="1:3" x14ac:dyDescent="0.25">
      <c r="A1311" s="10"/>
      <c r="B1311" s="10"/>
      <c r="C1311" s="10"/>
    </row>
    <row r="1312" spans="1:3" x14ac:dyDescent="0.25">
      <c r="A1312" s="10"/>
      <c r="B1312" s="10"/>
      <c r="C1312" s="10"/>
    </row>
    <row r="1313" spans="1:3" x14ac:dyDescent="0.25">
      <c r="A1313" s="10"/>
      <c r="B1313" s="10"/>
      <c r="C1313" s="10"/>
    </row>
    <row r="1314" spans="1:3" x14ac:dyDescent="0.25">
      <c r="A1314" s="10"/>
      <c r="B1314" s="10"/>
      <c r="C1314" s="10"/>
    </row>
    <row r="1315" spans="1:3" x14ac:dyDescent="0.25">
      <c r="A1315" s="10"/>
      <c r="B1315" s="10"/>
      <c r="C1315" s="10"/>
    </row>
    <row r="1316" spans="1:3" x14ac:dyDescent="0.25">
      <c r="A1316" s="10"/>
      <c r="B1316" s="10"/>
      <c r="C1316" s="10"/>
    </row>
    <row r="1317" spans="1:3" x14ac:dyDescent="0.25">
      <c r="A1317" s="10"/>
      <c r="B1317" s="10"/>
      <c r="C1317" s="10"/>
    </row>
    <row r="1318" spans="1:3" x14ac:dyDescent="0.25">
      <c r="A1318" s="10"/>
      <c r="B1318" s="10"/>
      <c r="C1318" s="10"/>
    </row>
    <row r="1319" spans="1:3" x14ac:dyDescent="0.25">
      <c r="A1319" s="10"/>
      <c r="B1319" s="10"/>
      <c r="C1319" s="10"/>
    </row>
    <row r="1320" spans="1:3" x14ac:dyDescent="0.25">
      <c r="A1320" s="10"/>
      <c r="B1320" s="10"/>
      <c r="C1320" s="10"/>
    </row>
    <row r="1321" spans="1:3" x14ac:dyDescent="0.25">
      <c r="A1321" s="10"/>
      <c r="B1321" s="10"/>
      <c r="C1321" s="10"/>
    </row>
    <row r="1322" spans="1:3" x14ac:dyDescent="0.25">
      <c r="A1322" s="10"/>
      <c r="B1322" s="10"/>
      <c r="C1322" s="10"/>
    </row>
    <row r="1323" spans="1:3" x14ac:dyDescent="0.25">
      <c r="A1323" s="10"/>
      <c r="B1323" s="10"/>
      <c r="C1323" s="10"/>
    </row>
    <row r="1324" spans="1:3" x14ac:dyDescent="0.25">
      <c r="A1324" s="10"/>
      <c r="B1324" s="10"/>
      <c r="C1324" s="10"/>
    </row>
    <row r="1325" spans="1:3" x14ac:dyDescent="0.25">
      <c r="A1325" s="10"/>
      <c r="B1325" s="10"/>
      <c r="C1325" s="10"/>
    </row>
    <row r="1326" spans="1:3" x14ac:dyDescent="0.25">
      <c r="A1326" s="10"/>
      <c r="B1326" s="10"/>
      <c r="C1326" s="10"/>
    </row>
    <row r="1327" spans="1:3" x14ac:dyDescent="0.25">
      <c r="A1327" s="10"/>
      <c r="B1327" s="10"/>
      <c r="C1327" s="10"/>
    </row>
    <row r="1328" spans="1:3" x14ac:dyDescent="0.25">
      <c r="A1328" s="10"/>
      <c r="B1328" s="10"/>
      <c r="C1328" s="10"/>
    </row>
    <row r="1329" spans="1:3" x14ac:dyDescent="0.25">
      <c r="A1329" s="10"/>
      <c r="B1329" s="10"/>
      <c r="C1329" s="10"/>
    </row>
    <row r="1330" spans="1:3" x14ac:dyDescent="0.25">
      <c r="A1330" s="10"/>
      <c r="B1330" s="10"/>
      <c r="C1330" s="10"/>
    </row>
    <row r="1331" spans="1:3" x14ac:dyDescent="0.25">
      <c r="A1331" s="10"/>
      <c r="B1331" s="10"/>
      <c r="C1331" s="10"/>
    </row>
    <row r="1332" spans="1:3" x14ac:dyDescent="0.25">
      <c r="A1332" s="10"/>
      <c r="B1332" s="10"/>
      <c r="C1332" s="10"/>
    </row>
    <row r="1333" spans="1:3" x14ac:dyDescent="0.25">
      <c r="A1333" s="10"/>
      <c r="B1333" s="10"/>
      <c r="C1333" s="10"/>
    </row>
    <row r="1334" spans="1:3" x14ac:dyDescent="0.25">
      <c r="A1334" s="10"/>
      <c r="B1334" s="10"/>
      <c r="C1334" s="10"/>
    </row>
    <row r="1335" spans="1:3" x14ac:dyDescent="0.25">
      <c r="A1335" s="10"/>
      <c r="B1335" s="10"/>
      <c r="C1335" s="10"/>
    </row>
    <row r="1336" spans="1:3" x14ac:dyDescent="0.25">
      <c r="A1336" s="10"/>
      <c r="B1336" s="10"/>
      <c r="C1336" s="10"/>
    </row>
    <row r="1337" spans="1:3" x14ac:dyDescent="0.25">
      <c r="A1337" s="10"/>
      <c r="B1337" s="10"/>
      <c r="C1337" s="10"/>
    </row>
    <row r="1338" spans="1:3" x14ac:dyDescent="0.25">
      <c r="A1338" s="10"/>
      <c r="B1338" s="10"/>
      <c r="C1338" s="10"/>
    </row>
    <row r="1339" spans="1:3" x14ac:dyDescent="0.25">
      <c r="A1339" s="10"/>
      <c r="B1339" s="10"/>
      <c r="C1339" s="10"/>
    </row>
    <row r="1340" spans="1:3" x14ac:dyDescent="0.25">
      <c r="A1340" s="10"/>
      <c r="B1340" s="10"/>
      <c r="C1340" s="10"/>
    </row>
    <row r="1341" spans="1:3" x14ac:dyDescent="0.25">
      <c r="A1341" s="10"/>
      <c r="B1341" s="10"/>
      <c r="C1341" s="10"/>
    </row>
    <row r="1342" spans="1:3" x14ac:dyDescent="0.25">
      <c r="A1342" s="10"/>
      <c r="B1342" s="10"/>
      <c r="C1342" s="10"/>
    </row>
    <row r="1343" spans="1:3" x14ac:dyDescent="0.25">
      <c r="A1343" s="10"/>
      <c r="B1343" s="10"/>
      <c r="C1343" s="10"/>
    </row>
    <row r="1344" spans="1:3" x14ac:dyDescent="0.25">
      <c r="A1344" s="10"/>
      <c r="B1344" s="10"/>
      <c r="C1344" s="10"/>
    </row>
    <row r="1345" spans="1:3" x14ac:dyDescent="0.25">
      <c r="A1345" s="10"/>
      <c r="B1345" s="10"/>
      <c r="C1345" s="10"/>
    </row>
    <row r="1346" spans="1:3" x14ac:dyDescent="0.25">
      <c r="A1346" s="10"/>
      <c r="B1346" s="10"/>
      <c r="C1346" s="10"/>
    </row>
    <row r="1347" spans="1:3" x14ac:dyDescent="0.25">
      <c r="A1347" s="10"/>
      <c r="B1347" s="10"/>
      <c r="C1347" s="10"/>
    </row>
    <row r="1348" spans="1:3" x14ac:dyDescent="0.25">
      <c r="A1348" s="10"/>
      <c r="B1348" s="10"/>
      <c r="C1348" s="10"/>
    </row>
    <row r="1349" spans="1:3" x14ac:dyDescent="0.25">
      <c r="A1349" s="10"/>
      <c r="B1349" s="10"/>
      <c r="C1349" s="10"/>
    </row>
    <row r="1350" spans="1:3" x14ac:dyDescent="0.25">
      <c r="A1350" s="10"/>
      <c r="B1350" s="10"/>
      <c r="C1350" s="10"/>
    </row>
    <row r="1351" spans="1:3" x14ac:dyDescent="0.25">
      <c r="A1351" s="10"/>
      <c r="B1351" s="10"/>
      <c r="C1351" s="10"/>
    </row>
    <row r="1352" spans="1:3" x14ac:dyDescent="0.25">
      <c r="A1352" s="10"/>
      <c r="B1352" s="10"/>
      <c r="C1352" s="10"/>
    </row>
    <row r="1353" spans="1:3" x14ac:dyDescent="0.25">
      <c r="A1353" s="10"/>
      <c r="B1353" s="10"/>
      <c r="C1353" s="10"/>
    </row>
    <row r="1354" spans="1:3" x14ac:dyDescent="0.25">
      <c r="A1354" s="10"/>
      <c r="B1354" s="10"/>
      <c r="C1354" s="10"/>
    </row>
    <row r="1355" spans="1:3" x14ac:dyDescent="0.25">
      <c r="A1355" s="10"/>
      <c r="B1355" s="10"/>
      <c r="C1355" s="10"/>
    </row>
    <row r="1356" spans="1:3" x14ac:dyDescent="0.25">
      <c r="A1356" s="10"/>
      <c r="B1356" s="10"/>
      <c r="C1356" s="10"/>
    </row>
    <row r="1357" spans="1:3" x14ac:dyDescent="0.25">
      <c r="A1357" s="10"/>
      <c r="B1357" s="10"/>
      <c r="C1357" s="10"/>
    </row>
    <row r="1358" spans="1:3" x14ac:dyDescent="0.25">
      <c r="A1358" s="10"/>
      <c r="B1358" s="10"/>
      <c r="C1358" s="10"/>
    </row>
    <row r="1359" spans="1:3" x14ac:dyDescent="0.25">
      <c r="A1359" s="10"/>
      <c r="B1359" s="10"/>
      <c r="C1359" s="10"/>
    </row>
    <row r="1360" spans="1:3" x14ac:dyDescent="0.25">
      <c r="A1360" s="10"/>
      <c r="B1360" s="10"/>
      <c r="C1360" s="10"/>
    </row>
    <row r="1361" spans="1:3" x14ac:dyDescent="0.25">
      <c r="A1361" s="10"/>
      <c r="B1361" s="10"/>
      <c r="C1361" s="10"/>
    </row>
    <row r="1362" spans="1:3" x14ac:dyDescent="0.25">
      <c r="A1362" s="10"/>
      <c r="B1362" s="10"/>
      <c r="C1362" s="10"/>
    </row>
    <row r="1363" spans="1:3" x14ac:dyDescent="0.25">
      <c r="A1363" s="10"/>
      <c r="B1363" s="10"/>
      <c r="C1363" s="10"/>
    </row>
    <row r="1364" spans="1:3" x14ac:dyDescent="0.25">
      <c r="A1364" s="10"/>
      <c r="B1364" s="10"/>
      <c r="C1364" s="10"/>
    </row>
    <row r="1365" spans="1:3" x14ac:dyDescent="0.25">
      <c r="A1365" s="10"/>
      <c r="B1365" s="10"/>
      <c r="C1365" s="10"/>
    </row>
    <row r="1366" spans="1:3" x14ac:dyDescent="0.25">
      <c r="A1366" s="10"/>
      <c r="B1366" s="10"/>
      <c r="C1366" s="10"/>
    </row>
    <row r="1367" spans="1:3" x14ac:dyDescent="0.25">
      <c r="A1367" s="10"/>
      <c r="B1367" s="10"/>
      <c r="C1367" s="10"/>
    </row>
    <row r="1368" spans="1:3" x14ac:dyDescent="0.25">
      <c r="A1368" s="10"/>
      <c r="B1368" s="10"/>
      <c r="C1368" s="10"/>
    </row>
    <row r="1369" spans="1:3" x14ac:dyDescent="0.25">
      <c r="A1369" s="10"/>
      <c r="B1369" s="10"/>
      <c r="C1369" s="10"/>
    </row>
    <row r="1370" spans="1:3" x14ac:dyDescent="0.25">
      <c r="A1370" s="10"/>
      <c r="B1370" s="10"/>
      <c r="C1370" s="10"/>
    </row>
    <row r="1371" spans="1:3" x14ac:dyDescent="0.25">
      <c r="A1371" s="10"/>
      <c r="B1371" s="10"/>
      <c r="C1371" s="10"/>
    </row>
    <row r="1372" spans="1:3" x14ac:dyDescent="0.25">
      <c r="A1372" s="10"/>
      <c r="B1372" s="10"/>
      <c r="C1372" s="10"/>
    </row>
    <row r="1373" spans="1:3" x14ac:dyDescent="0.25">
      <c r="A1373" s="10"/>
      <c r="B1373" s="10"/>
      <c r="C1373" s="10"/>
    </row>
    <row r="1374" spans="1:3" x14ac:dyDescent="0.25">
      <c r="A1374" s="10"/>
      <c r="B1374" s="10"/>
      <c r="C1374" s="10"/>
    </row>
    <row r="1375" spans="1:3" x14ac:dyDescent="0.25">
      <c r="A1375" s="10"/>
      <c r="B1375" s="10"/>
      <c r="C1375" s="10"/>
    </row>
    <row r="1376" spans="1:3" x14ac:dyDescent="0.25">
      <c r="A1376" s="10"/>
      <c r="B1376" s="10"/>
      <c r="C1376" s="10"/>
    </row>
    <row r="1377" spans="1:3" x14ac:dyDescent="0.25">
      <c r="A1377" s="10"/>
      <c r="B1377" s="10"/>
      <c r="C1377" s="10"/>
    </row>
    <row r="1378" spans="1:3" x14ac:dyDescent="0.25">
      <c r="A1378" s="10"/>
      <c r="B1378" s="10"/>
      <c r="C1378" s="10"/>
    </row>
    <row r="1379" spans="1:3" x14ac:dyDescent="0.25">
      <c r="A1379" s="10"/>
      <c r="B1379" s="10"/>
      <c r="C1379" s="10"/>
    </row>
    <row r="1380" spans="1:3" x14ac:dyDescent="0.25">
      <c r="A1380" s="10"/>
      <c r="B1380" s="10"/>
      <c r="C1380" s="10"/>
    </row>
    <row r="1381" spans="1:3" x14ac:dyDescent="0.25">
      <c r="A1381" s="10"/>
      <c r="B1381" s="10"/>
      <c r="C1381" s="10"/>
    </row>
    <row r="1382" spans="1:3" x14ac:dyDescent="0.25">
      <c r="A1382" s="10"/>
      <c r="B1382" s="10"/>
      <c r="C1382" s="10"/>
    </row>
    <row r="1383" spans="1:3" x14ac:dyDescent="0.25">
      <c r="A1383" s="10"/>
      <c r="B1383" s="10"/>
      <c r="C1383" s="10"/>
    </row>
    <row r="1384" spans="1:3" x14ac:dyDescent="0.25">
      <c r="A1384" s="10"/>
      <c r="B1384" s="10"/>
      <c r="C1384" s="10"/>
    </row>
    <row r="1385" spans="1:3" x14ac:dyDescent="0.25">
      <c r="A1385" s="10"/>
      <c r="B1385" s="10"/>
      <c r="C1385" s="10"/>
    </row>
    <row r="1386" spans="1:3" x14ac:dyDescent="0.25">
      <c r="A1386" s="10"/>
      <c r="B1386" s="10"/>
      <c r="C1386" s="10"/>
    </row>
    <row r="1387" spans="1:3" x14ac:dyDescent="0.25">
      <c r="A1387" s="10"/>
      <c r="B1387" s="10"/>
      <c r="C1387" s="10"/>
    </row>
    <row r="1388" spans="1:3" x14ac:dyDescent="0.25">
      <c r="A1388" s="10"/>
      <c r="B1388" s="10"/>
      <c r="C1388" s="10"/>
    </row>
    <row r="1389" spans="1:3" x14ac:dyDescent="0.25">
      <c r="A1389" s="10"/>
      <c r="B1389" s="10"/>
      <c r="C1389" s="10"/>
    </row>
    <row r="1390" spans="1:3" x14ac:dyDescent="0.25">
      <c r="A1390" s="10"/>
      <c r="B1390" s="10"/>
      <c r="C1390" s="10"/>
    </row>
    <row r="1391" spans="1:3" x14ac:dyDescent="0.25">
      <c r="A1391" s="10"/>
      <c r="B1391" s="10"/>
      <c r="C1391" s="10"/>
    </row>
    <row r="1392" spans="1:3" x14ac:dyDescent="0.25">
      <c r="A1392" s="10"/>
      <c r="B1392" s="10"/>
      <c r="C1392" s="10"/>
    </row>
    <row r="1393" spans="1:3" x14ac:dyDescent="0.25">
      <c r="A1393" s="10"/>
      <c r="B1393" s="10"/>
      <c r="C1393" s="10"/>
    </row>
    <row r="1394" spans="1:3" x14ac:dyDescent="0.25">
      <c r="A1394" s="10"/>
      <c r="B1394" s="10"/>
      <c r="C1394" s="10"/>
    </row>
    <row r="1395" spans="1:3" x14ac:dyDescent="0.25">
      <c r="A1395" s="10"/>
      <c r="B1395" s="10"/>
      <c r="C1395" s="10"/>
    </row>
    <row r="1396" spans="1:3" x14ac:dyDescent="0.25">
      <c r="A1396" s="10"/>
      <c r="B1396" s="10"/>
      <c r="C1396" s="10"/>
    </row>
    <row r="1397" spans="1:3" x14ac:dyDescent="0.25">
      <c r="A1397" s="10"/>
      <c r="B1397" s="10"/>
      <c r="C1397" s="10"/>
    </row>
    <row r="1398" spans="1:3" x14ac:dyDescent="0.25">
      <c r="A1398" s="10"/>
      <c r="B1398" s="10"/>
      <c r="C1398" s="10"/>
    </row>
    <row r="1399" spans="1:3" x14ac:dyDescent="0.25">
      <c r="A1399" s="10"/>
      <c r="B1399" s="10"/>
      <c r="C1399" s="10"/>
    </row>
    <row r="1400" spans="1:3" x14ac:dyDescent="0.25">
      <c r="A1400" s="10"/>
      <c r="B1400" s="10"/>
      <c r="C1400" s="10"/>
    </row>
    <row r="1401" spans="1:3" x14ac:dyDescent="0.25">
      <c r="A1401" s="10"/>
      <c r="B1401" s="10"/>
      <c r="C1401" s="10"/>
    </row>
    <row r="1402" spans="1:3" x14ac:dyDescent="0.25">
      <c r="A1402" s="10"/>
      <c r="B1402" s="10"/>
      <c r="C1402" s="10"/>
    </row>
    <row r="1403" spans="1:3" x14ac:dyDescent="0.25">
      <c r="A1403" s="10"/>
      <c r="B1403" s="10"/>
      <c r="C1403" s="10"/>
    </row>
    <row r="1404" spans="1:3" x14ac:dyDescent="0.25">
      <c r="A1404" s="10"/>
      <c r="B1404" s="10"/>
      <c r="C1404" s="10"/>
    </row>
    <row r="1405" spans="1:3" x14ac:dyDescent="0.25">
      <c r="A1405" s="10"/>
      <c r="B1405" s="10"/>
      <c r="C1405" s="10"/>
    </row>
    <row r="1406" spans="1:3" x14ac:dyDescent="0.25">
      <c r="A1406" s="10"/>
      <c r="B1406" s="10"/>
      <c r="C1406" s="10"/>
    </row>
    <row r="1407" spans="1:3" x14ac:dyDescent="0.25">
      <c r="A1407" s="10"/>
      <c r="B1407" s="10"/>
      <c r="C1407" s="10"/>
    </row>
    <row r="1408" spans="1:3" x14ac:dyDescent="0.25">
      <c r="A1408" s="10"/>
      <c r="B1408" s="10"/>
      <c r="C1408" s="10"/>
    </row>
    <row r="1409" spans="1:3" x14ac:dyDescent="0.25">
      <c r="A1409" s="10"/>
      <c r="B1409" s="10"/>
      <c r="C1409" s="10"/>
    </row>
    <row r="1410" spans="1:3" x14ac:dyDescent="0.25">
      <c r="A1410" s="10"/>
      <c r="B1410" s="10"/>
      <c r="C1410" s="10"/>
    </row>
    <row r="1411" spans="1:3" x14ac:dyDescent="0.25">
      <c r="A1411" s="10"/>
      <c r="B1411" s="10"/>
      <c r="C1411" s="10"/>
    </row>
    <row r="1412" spans="1:3" x14ac:dyDescent="0.25">
      <c r="A1412" s="10"/>
      <c r="B1412" s="10"/>
      <c r="C1412" s="10"/>
    </row>
    <row r="1413" spans="1:3" x14ac:dyDescent="0.25">
      <c r="A1413" s="10"/>
      <c r="B1413" s="10"/>
      <c r="C1413" s="10"/>
    </row>
    <row r="1414" spans="1:3" x14ac:dyDescent="0.25">
      <c r="A1414" s="10"/>
      <c r="B1414" s="10"/>
      <c r="C1414" s="10"/>
    </row>
    <row r="1415" spans="1:3" x14ac:dyDescent="0.25">
      <c r="A1415" s="10"/>
      <c r="B1415" s="10"/>
      <c r="C1415" s="10"/>
    </row>
    <row r="1416" spans="1:3" x14ac:dyDescent="0.25">
      <c r="A1416" s="10"/>
      <c r="B1416" s="10"/>
      <c r="C1416" s="10"/>
    </row>
    <row r="1417" spans="1:3" x14ac:dyDescent="0.25">
      <c r="A1417" s="10"/>
      <c r="B1417" s="10"/>
      <c r="C1417" s="10"/>
    </row>
    <row r="1418" spans="1:3" x14ac:dyDescent="0.25">
      <c r="A1418" s="10"/>
      <c r="B1418" s="10"/>
      <c r="C1418" s="10"/>
    </row>
    <row r="1419" spans="1:3" x14ac:dyDescent="0.25">
      <c r="A1419" s="10"/>
      <c r="B1419" s="10"/>
      <c r="C1419" s="10"/>
    </row>
    <row r="1420" spans="1:3" x14ac:dyDescent="0.25">
      <c r="A1420" s="10"/>
      <c r="B1420" s="10"/>
      <c r="C1420" s="10"/>
    </row>
    <row r="1421" spans="1:3" x14ac:dyDescent="0.25">
      <c r="A1421" s="10"/>
      <c r="B1421" s="10"/>
      <c r="C1421" s="10"/>
    </row>
    <row r="1422" spans="1:3" x14ac:dyDescent="0.25">
      <c r="A1422" s="10"/>
      <c r="B1422" s="10"/>
      <c r="C1422" s="10"/>
    </row>
    <row r="1423" spans="1:3" x14ac:dyDescent="0.25">
      <c r="A1423" s="10"/>
      <c r="B1423" s="10"/>
      <c r="C1423" s="10"/>
    </row>
    <row r="1424" spans="1:3" x14ac:dyDescent="0.25">
      <c r="A1424" s="10"/>
      <c r="B1424" s="10"/>
      <c r="C1424" s="10"/>
    </row>
    <row r="1425" spans="1:3" x14ac:dyDescent="0.25">
      <c r="A1425" s="10"/>
      <c r="B1425" s="10"/>
      <c r="C1425" s="10"/>
    </row>
    <row r="1426" spans="1:3" x14ac:dyDescent="0.25">
      <c r="A1426" s="10"/>
      <c r="B1426" s="10"/>
      <c r="C1426" s="10"/>
    </row>
    <row r="1427" spans="1:3" x14ac:dyDescent="0.25">
      <c r="A1427" s="10"/>
      <c r="B1427" s="10"/>
      <c r="C1427" s="10"/>
    </row>
    <row r="1428" spans="1:3" x14ac:dyDescent="0.25">
      <c r="A1428" s="10"/>
      <c r="B1428" s="10"/>
      <c r="C1428" s="10"/>
    </row>
    <row r="1429" spans="1:3" x14ac:dyDescent="0.25">
      <c r="A1429" s="10"/>
      <c r="B1429" s="10"/>
      <c r="C1429" s="10"/>
    </row>
    <row r="1430" spans="1:3" x14ac:dyDescent="0.25">
      <c r="A1430" s="10"/>
      <c r="B1430" s="10"/>
      <c r="C1430" s="10"/>
    </row>
    <row r="1431" spans="1:3" x14ac:dyDescent="0.25">
      <c r="A1431" s="10"/>
      <c r="B1431" s="10"/>
      <c r="C1431" s="10"/>
    </row>
    <row r="1432" spans="1:3" x14ac:dyDescent="0.25">
      <c r="A1432" s="10"/>
      <c r="B1432" s="10"/>
      <c r="C1432" s="10"/>
    </row>
    <row r="1433" spans="1:3" x14ac:dyDescent="0.25">
      <c r="A1433" s="10"/>
      <c r="B1433" s="10"/>
      <c r="C1433" s="10"/>
    </row>
    <row r="1434" spans="1:3" x14ac:dyDescent="0.25">
      <c r="A1434" s="10"/>
      <c r="B1434" s="10"/>
      <c r="C1434" s="10"/>
    </row>
    <row r="1435" spans="1:3" x14ac:dyDescent="0.25">
      <c r="A1435" s="10"/>
      <c r="B1435" s="10"/>
      <c r="C1435" s="10"/>
    </row>
    <row r="1436" spans="1:3" x14ac:dyDescent="0.25">
      <c r="A1436" s="10"/>
      <c r="B1436" s="10"/>
      <c r="C1436" s="10"/>
    </row>
    <row r="1437" spans="1:3" x14ac:dyDescent="0.25">
      <c r="A1437" s="10"/>
      <c r="B1437" s="10"/>
      <c r="C1437" s="10"/>
    </row>
    <row r="1438" spans="1:3" x14ac:dyDescent="0.25">
      <c r="A1438" s="10"/>
      <c r="B1438" s="10"/>
      <c r="C1438" s="10"/>
    </row>
    <row r="1439" spans="1:3" x14ac:dyDescent="0.25">
      <c r="A1439" s="10"/>
      <c r="B1439" s="10"/>
      <c r="C1439" s="10"/>
    </row>
    <row r="1440" spans="1:3" x14ac:dyDescent="0.25">
      <c r="A1440" s="10"/>
      <c r="B1440" s="10"/>
      <c r="C1440" s="10"/>
    </row>
    <row r="1441" spans="1:3" x14ac:dyDescent="0.25">
      <c r="A1441" s="10"/>
      <c r="B1441" s="10"/>
      <c r="C1441" s="10"/>
    </row>
    <row r="1442" spans="1:3" x14ac:dyDescent="0.25">
      <c r="A1442" s="10"/>
      <c r="B1442" s="10"/>
      <c r="C1442" s="10"/>
    </row>
    <row r="1443" spans="1:3" x14ac:dyDescent="0.25">
      <c r="A1443" s="10"/>
      <c r="B1443" s="10"/>
      <c r="C1443" s="10"/>
    </row>
    <row r="1444" spans="1:3" x14ac:dyDescent="0.25">
      <c r="A1444" s="10"/>
      <c r="B1444" s="10"/>
      <c r="C1444" s="10"/>
    </row>
    <row r="1445" spans="1:3" x14ac:dyDescent="0.25">
      <c r="A1445" s="10"/>
      <c r="B1445" s="10"/>
      <c r="C1445" s="10"/>
    </row>
    <row r="1446" spans="1:3" x14ac:dyDescent="0.25">
      <c r="A1446" s="10"/>
      <c r="B1446" s="10"/>
      <c r="C1446" s="10"/>
    </row>
    <row r="1447" spans="1:3" x14ac:dyDescent="0.25">
      <c r="A1447" s="10"/>
      <c r="B1447" s="10"/>
      <c r="C1447" s="10"/>
    </row>
    <row r="1448" spans="1:3" x14ac:dyDescent="0.25">
      <c r="A1448" s="10"/>
      <c r="B1448" s="10"/>
      <c r="C1448" s="10"/>
    </row>
    <row r="1449" spans="1:3" x14ac:dyDescent="0.25">
      <c r="A1449" s="10"/>
      <c r="B1449" s="10"/>
      <c r="C1449" s="10"/>
    </row>
    <row r="1450" spans="1:3" x14ac:dyDescent="0.25">
      <c r="A1450" s="10"/>
      <c r="B1450" s="10"/>
      <c r="C1450" s="10"/>
    </row>
    <row r="1451" spans="1:3" x14ac:dyDescent="0.25">
      <c r="A1451" s="10"/>
      <c r="B1451" s="10"/>
      <c r="C1451" s="10"/>
    </row>
    <row r="1452" spans="1:3" x14ac:dyDescent="0.25">
      <c r="A1452" s="10"/>
      <c r="B1452" s="10"/>
      <c r="C1452" s="10"/>
    </row>
    <row r="1453" spans="1:3" x14ac:dyDescent="0.25">
      <c r="A1453" s="10"/>
      <c r="B1453" s="10"/>
      <c r="C1453" s="10"/>
    </row>
    <row r="1454" spans="1:3" x14ac:dyDescent="0.25">
      <c r="A1454" s="10"/>
      <c r="B1454" s="10"/>
      <c r="C1454" s="10"/>
    </row>
    <row r="1455" spans="1:3" x14ac:dyDescent="0.25">
      <c r="A1455" s="10"/>
      <c r="B1455" s="10"/>
      <c r="C1455" s="10"/>
    </row>
    <row r="1456" spans="1:3" x14ac:dyDescent="0.25">
      <c r="A1456" s="10"/>
      <c r="B1456" s="10"/>
      <c r="C1456" s="10"/>
    </row>
    <row r="1457" spans="1:3" x14ac:dyDescent="0.25">
      <c r="A1457" s="10"/>
      <c r="B1457" s="10"/>
      <c r="C1457" s="10"/>
    </row>
    <row r="1458" spans="1:3" x14ac:dyDescent="0.25">
      <c r="A1458" s="10"/>
      <c r="B1458" s="10"/>
      <c r="C1458" s="10"/>
    </row>
    <row r="1459" spans="1:3" x14ac:dyDescent="0.25">
      <c r="A1459" s="10"/>
      <c r="B1459" s="10"/>
      <c r="C1459" s="10"/>
    </row>
    <row r="1460" spans="1:3" x14ac:dyDescent="0.25">
      <c r="A1460" s="10"/>
      <c r="B1460" s="10"/>
      <c r="C1460" s="10"/>
    </row>
    <row r="1461" spans="1:3" x14ac:dyDescent="0.25">
      <c r="A1461" s="10"/>
      <c r="B1461" s="10"/>
      <c r="C1461" s="10"/>
    </row>
    <row r="1462" spans="1:3" x14ac:dyDescent="0.25">
      <c r="A1462" s="10"/>
      <c r="B1462" s="10"/>
      <c r="C1462" s="10"/>
    </row>
    <row r="1463" spans="1:3" x14ac:dyDescent="0.25">
      <c r="A1463" s="10"/>
      <c r="B1463" s="10"/>
      <c r="C1463" s="10"/>
    </row>
    <row r="1464" spans="1:3" x14ac:dyDescent="0.25">
      <c r="A1464" s="10"/>
      <c r="B1464" s="10"/>
      <c r="C1464" s="10"/>
    </row>
    <row r="1465" spans="1:3" x14ac:dyDescent="0.25">
      <c r="A1465" s="10"/>
      <c r="B1465" s="10"/>
      <c r="C1465" s="10"/>
    </row>
    <row r="1466" spans="1:3" x14ac:dyDescent="0.25">
      <c r="A1466" s="10"/>
      <c r="B1466" s="10"/>
      <c r="C1466" s="10"/>
    </row>
    <row r="1467" spans="1:3" x14ac:dyDescent="0.25">
      <c r="A1467" s="10"/>
      <c r="B1467" s="10"/>
      <c r="C1467" s="10"/>
    </row>
    <row r="1468" spans="1:3" x14ac:dyDescent="0.25">
      <c r="A1468" s="10"/>
      <c r="B1468" s="10"/>
      <c r="C1468" s="10"/>
    </row>
    <row r="1469" spans="1:3" x14ac:dyDescent="0.25">
      <c r="A1469" s="10"/>
      <c r="B1469" s="10"/>
      <c r="C1469" s="10"/>
    </row>
    <row r="1470" spans="1:3" x14ac:dyDescent="0.25">
      <c r="A1470" s="10"/>
      <c r="B1470" s="10"/>
      <c r="C1470" s="10"/>
    </row>
    <row r="1471" spans="1:3" x14ac:dyDescent="0.25">
      <c r="A1471" s="10"/>
      <c r="B1471" s="10"/>
      <c r="C1471" s="10"/>
    </row>
    <row r="1472" spans="1:3" x14ac:dyDescent="0.25">
      <c r="A1472" s="10"/>
      <c r="B1472" s="10"/>
      <c r="C1472" s="10"/>
    </row>
    <row r="1473" spans="1:3" x14ac:dyDescent="0.25">
      <c r="A1473" s="10"/>
      <c r="B1473" s="10"/>
      <c r="C1473" s="10"/>
    </row>
    <row r="1474" spans="1:3" x14ac:dyDescent="0.25">
      <c r="A1474" s="10"/>
      <c r="B1474" s="10"/>
      <c r="C1474" s="10"/>
    </row>
    <row r="1475" spans="1:3" x14ac:dyDescent="0.25">
      <c r="A1475" s="10"/>
      <c r="B1475" s="10"/>
      <c r="C1475" s="10"/>
    </row>
    <row r="1476" spans="1:3" x14ac:dyDescent="0.25">
      <c r="A1476" s="10"/>
      <c r="B1476" s="10"/>
      <c r="C1476" s="10"/>
    </row>
    <row r="1477" spans="1:3" x14ac:dyDescent="0.25">
      <c r="A1477" s="10"/>
      <c r="B1477" s="10"/>
      <c r="C1477" s="10"/>
    </row>
    <row r="1478" spans="1:3" x14ac:dyDescent="0.25">
      <c r="A1478" s="10"/>
      <c r="B1478" s="10"/>
      <c r="C1478" s="10"/>
    </row>
    <row r="1479" spans="1:3" x14ac:dyDescent="0.25">
      <c r="A1479" s="10"/>
      <c r="B1479" s="10"/>
      <c r="C1479" s="10"/>
    </row>
    <row r="1480" spans="1:3" x14ac:dyDescent="0.25">
      <c r="A1480" s="10"/>
      <c r="B1480" s="10"/>
      <c r="C1480" s="10"/>
    </row>
    <row r="1481" spans="1:3" x14ac:dyDescent="0.25">
      <c r="A1481" s="10"/>
      <c r="B1481" s="10"/>
      <c r="C1481" s="10"/>
    </row>
    <row r="1482" spans="1:3" x14ac:dyDescent="0.25">
      <c r="A1482" s="10"/>
      <c r="B1482" s="10"/>
      <c r="C1482" s="10"/>
    </row>
    <row r="1483" spans="1:3" x14ac:dyDescent="0.25">
      <c r="A1483" s="10"/>
      <c r="B1483" s="10"/>
      <c r="C1483" s="10"/>
    </row>
    <row r="1484" spans="1:3" x14ac:dyDescent="0.25">
      <c r="A1484" s="10"/>
      <c r="B1484" s="10"/>
      <c r="C1484" s="10"/>
    </row>
    <row r="1485" spans="1:3" x14ac:dyDescent="0.25">
      <c r="A1485" s="10"/>
      <c r="B1485" s="10"/>
      <c r="C1485" s="10"/>
    </row>
    <row r="1486" spans="1:3" x14ac:dyDescent="0.25">
      <c r="A1486" s="10"/>
      <c r="B1486" s="10"/>
      <c r="C1486" s="10"/>
    </row>
    <row r="1487" spans="1:3" x14ac:dyDescent="0.25">
      <c r="A1487" s="10"/>
      <c r="B1487" s="10"/>
      <c r="C1487" s="10"/>
    </row>
    <row r="1488" spans="1:3" x14ac:dyDescent="0.25">
      <c r="A1488" s="10"/>
      <c r="B1488" s="10"/>
      <c r="C1488" s="10"/>
    </row>
    <row r="1489" spans="1:3" x14ac:dyDescent="0.25">
      <c r="A1489" s="10"/>
      <c r="B1489" s="10"/>
      <c r="C1489" s="10"/>
    </row>
    <row r="1490" spans="1:3" x14ac:dyDescent="0.25">
      <c r="A1490" s="10"/>
      <c r="B1490" s="10"/>
      <c r="C1490" s="10"/>
    </row>
    <row r="1491" spans="1:3" x14ac:dyDescent="0.25">
      <c r="A1491" s="10"/>
      <c r="B1491" s="10"/>
      <c r="C1491" s="10"/>
    </row>
    <row r="1492" spans="1:3" x14ac:dyDescent="0.25">
      <c r="A1492" s="10"/>
      <c r="B1492" s="10"/>
      <c r="C1492" s="10"/>
    </row>
    <row r="1493" spans="1:3" x14ac:dyDescent="0.25">
      <c r="A1493" s="10"/>
      <c r="B1493" s="10"/>
      <c r="C1493" s="10"/>
    </row>
    <row r="1494" spans="1:3" x14ac:dyDescent="0.25">
      <c r="A1494" s="10"/>
      <c r="B1494" s="10"/>
      <c r="C1494" s="10"/>
    </row>
    <row r="1495" spans="1:3" x14ac:dyDescent="0.25">
      <c r="A1495" s="10"/>
      <c r="B1495" s="10"/>
      <c r="C1495" s="10"/>
    </row>
    <row r="1496" spans="1:3" x14ac:dyDescent="0.25">
      <c r="A1496" s="10"/>
      <c r="B1496" s="10"/>
      <c r="C1496" s="10"/>
    </row>
    <row r="1497" spans="1:3" x14ac:dyDescent="0.25">
      <c r="A1497" s="10"/>
      <c r="B1497" s="10"/>
      <c r="C1497" s="10"/>
    </row>
    <row r="1498" spans="1:3" x14ac:dyDescent="0.25">
      <c r="A1498" s="10"/>
      <c r="B1498" s="10"/>
      <c r="C1498" s="10"/>
    </row>
    <row r="1499" spans="1:3" x14ac:dyDescent="0.25">
      <c r="A1499" s="10"/>
      <c r="B1499" s="10"/>
      <c r="C1499" s="10"/>
    </row>
    <row r="1500" spans="1:3" x14ac:dyDescent="0.25">
      <c r="A1500" s="10"/>
      <c r="B1500" s="10"/>
      <c r="C1500" s="10"/>
    </row>
    <row r="1501" spans="1:3" x14ac:dyDescent="0.25">
      <c r="A1501" s="10"/>
      <c r="B1501" s="10"/>
      <c r="C1501" s="10"/>
    </row>
    <row r="1502" spans="1:3" x14ac:dyDescent="0.25">
      <c r="A1502" s="10"/>
      <c r="B1502" s="10"/>
      <c r="C1502" s="10"/>
    </row>
    <row r="1503" spans="1:3" x14ac:dyDescent="0.25">
      <c r="A1503" s="10"/>
      <c r="B1503" s="10"/>
      <c r="C1503" s="10"/>
    </row>
    <row r="1504" spans="1:3" x14ac:dyDescent="0.25">
      <c r="A1504" s="10"/>
      <c r="B1504" s="10"/>
      <c r="C1504" s="10"/>
    </row>
    <row r="1505" spans="1:3" x14ac:dyDescent="0.25">
      <c r="A1505" s="10"/>
      <c r="B1505" s="10"/>
      <c r="C1505" s="10"/>
    </row>
    <row r="1506" spans="1:3" x14ac:dyDescent="0.25">
      <c r="A1506" s="10"/>
      <c r="B1506" s="10"/>
      <c r="C1506" s="10"/>
    </row>
    <row r="1507" spans="1:3" x14ac:dyDescent="0.25">
      <c r="A1507" s="10"/>
      <c r="B1507" s="10"/>
      <c r="C1507" s="10"/>
    </row>
    <row r="1508" spans="1:3" x14ac:dyDescent="0.25">
      <c r="A1508" s="10"/>
      <c r="B1508" s="10"/>
      <c r="C1508" s="10"/>
    </row>
    <row r="1509" spans="1:3" x14ac:dyDescent="0.25">
      <c r="A1509" s="10"/>
      <c r="B1509" s="10"/>
      <c r="C1509" s="10"/>
    </row>
    <row r="1510" spans="1:3" x14ac:dyDescent="0.25">
      <c r="A1510" s="10"/>
      <c r="B1510" s="10"/>
      <c r="C1510" s="10"/>
    </row>
    <row r="1511" spans="1:3" x14ac:dyDescent="0.25">
      <c r="A1511" s="10"/>
      <c r="B1511" s="10"/>
      <c r="C1511" s="10"/>
    </row>
    <row r="1512" spans="1:3" x14ac:dyDescent="0.25">
      <c r="A1512" s="10"/>
      <c r="B1512" s="10"/>
      <c r="C1512" s="10"/>
    </row>
    <row r="1513" spans="1:3" x14ac:dyDescent="0.25">
      <c r="A1513" s="10"/>
      <c r="B1513" s="10"/>
      <c r="C1513" s="10"/>
    </row>
    <row r="1514" spans="1:3" x14ac:dyDescent="0.25">
      <c r="A1514" s="10"/>
      <c r="B1514" s="10"/>
      <c r="C1514" s="10"/>
    </row>
    <row r="1515" spans="1:3" x14ac:dyDescent="0.25">
      <c r="A1515" s="10"/>
      <c r="B1515" s="10"/>
      <c r="C1515" s="10"/>
    </row>
    <row r="1516" spans="1:3" x14ac:dyDescent="0.25">
      <c r="A1516" s="10"/>
      <c r="B1516" s="10"/>
      <c r="C1516" s="10"/>
    </row>
    <row r="1517" spans="1:3" x14ac:dyDescent="0.25">
      <c r="A1517" s="10"/>
      <c r="B1517" s="10"/>
      <c r="C1517" s="10"/>
    </row>
    <row r="1518" spans="1:3" x14ac:dyDescent="0.25">
      <c r="A1518" s="10"/>
      <c r="B1518" s="10"/>
      <c r="C1518" s="10"/>
    </row>
    <row r="1519" spans="1:3" x14ac:dyDescent="0.25">
      <c r="A1519" s="10"/>
      <c r="B1519" s="10"/>
      <c r="C1519" s="10"/>
    </row>
    <row r="1520" spans="1:3" x14ac:dyDescent="0.25">
      <c r="A1520" s="10"/>
      <c r="B1520" s="10"/>
      <c r="C1520" s="10"/>
    </row>
    <row r="1521" spans="1:3" x14ac:dyDescent="0.25">
      <c r="A1521" s="10"/>
      <c r="B1521" s="10"/>
      <c r="C1521" s="10"/>
    </row>
    <row r="1522" spans="1:3" x14ac:dyDescent="0.25">
      <c r="A1522" s="10"/>
      <c r="B1522" s="10"/>
      <c r="C1522" s="10"/>
    </row>
    <row r="1523" spans="1:3" x14ac:dyDescent="0.25">
      <c r="A1523" s="10"/>
      <c r="B1523" s="10"/>
      <c r="C1523" s="10"/>
    </row>
    <row r="1524" spans="1:3" x14ac:dyDescent="0.25">
      <c r="A1524" s="10"/>
      <c r="B1524" s="10"/>
      <c r="C1524" s="10"/>
    </row>
    <row r="1525" spans="1:3" x14ac:dyDescent="0.25">
      <c r="A1525" s="10"/>
      <c r="B1525" s="10"/>
      <c r="C1525" s="10"/>
    </row>
    <row r="1526" spans="1:3" x14ac:dyDescent="0.25">
      <c r="A1526" s="10"/>
      <c r="B1526" s="10"/>
      <c r="C1526" s="10"/>
    </row>
    <row r="1527" spans="1:3" x14ac:dyDescent="0.25">
      <c r="A1527" s="10"/>
      <c r="B1527" s="10"/>
      <c r="C1527" s="10"/>
    </row>
    <row r="1528" spans="1:3" x14ac:dyDescent="0.25">
      <c r="A1528" s="10"/>
      <c r="B1528" s="10"/>
      <c r="C1528" s="10"/>
    </row>
    <row r="1529" spans="1:3" x14ac:dyDescent="0.25">
      <c r="A1529" s="10"/>
      <c r="B1529" s="10"/>
      <c r="C1529" s="10"/>
    </row>
    <row r="1530" spans="1:3" x14ac:dyDescent="0.25">
      <c r="A1530" s="10"/>
      <c r="B1530" s="10"/>
      <c r="C1530" s="10"/>
    </row>
    <row r="1531" spans="1:3" x14ac:dyDescent="0.25">
      <c r="A1531" s="10"/>
      <c r="B1531" s="10"/>
      <c r="C1531" s="10"/>
    </row>
    <row r="1532" spans="1:3" x14ac:dyDescent="0.25">
      <c r="A1532" s="10"/>
      <c r="B1532" s="10"/>
      <c r="C1532" s="10"/>
    </row>
    <row r="1533" spans="1:3" x14ac:dyDescent="0.25">
      <c r="A1533" s="10"/>
      <c r="B1533" s="10"/>
      <c r="C1533" s="10"/>
    </row>
    <row r="1534" spans="1:3" x14ac:dyDescent="0.25">
      <c r="A1534" s="10"/>
      <c r="B1534" s="10"/>
      <c r="C1534" s="10"/>
    </row>
    <row r="1535" spans="1:3" x14ac:dyDescent="0.25">
      <c r="A1535" s="10"/>
      <c r="B1535" s="10"/>
      <c r="C1535" s="10"/>
    </row>
    <row r="1536" spans="1:3" x14ac:dyDescent="0.25">
      <c r="A1536" s="10"/>
      <c r="B1536" s="10"/>
      <c r="C1536" s="10"/>
    </row>
    <row r="1537" spans="1:3" x14ac:dyDescent="0.25">
      <c r="A1537" s="10"/>
      <c r="B1537" s="10"/>
      <c r="C1537" s="10"/>
    </row>
    <row r="1538" spans="1:3" x14ac:dyDescent="0.25">
      <c r="A1538" s="10"/>
      <c r="B1538" s="10"/>
      <c r="C1538" s="10"/>
    </row>
    <row r="1539" spans="1:3" x14ac:dyDescent="0.25">
      <c r="A1539" s="10"/>
      <c r="B1539" s="10"/>
      <c r="C1539" s="10"/>
    </row>
    <row r="1540" spans="1:3" x14ac:dyDescent="0.25">
      <c r="A1540" s="10"/>
      <c r="B1540" s="10"/>
      <c r="C1540" s="10"/>
    </row>
    <row r="1541" spans="1:3" x14ac:dyDescent="0.25">
      <c r="A1541" s="10"/>
      <c r="B1541" s="10"/>
      <c r="C1541" s="10"/>
    </row>
    <row r="1542" spans="1:3" x14ac:dyDescent="0.25">
      <c r="A1542" s="10"/>
      <c r="B1542" s="10"/>
      <c r="C1542" s="10"/>
    </row>
    <row r="1543" spans="1:3" x14ac:dyDescent="0.25">
      <c r="A1543" s="10"/>
      <c r="B1543" s="10"/>
      <c r="C1543" s="10"/>
    </row>
    <row r="1544" spans="1:3" x14ac:dyDescent="0.25">
      <c r="A1544" s="10"/>
      <c r="B1544" s="10"/>
      <c r="C1544" s="10"/>
    </row>
    <row r="1545" spans="1:3" x14ac:dyDescent="0.25">
      <c r="A1545" s="10"/>
      <c r="B1545" s="10"/>
      <c r="C1545" s="10"/>
    </row>
    <row r="1546" spans="1:3" x14ac:dyDescent="0.25">
      <c r="A1546" s="10"/>
      <c r="B1546" s="10"/>
      <c r="C1546" s="10"/>
    </row>
    <row r="1547" spans="1:3" x14ac:dyDescent="0.25">
      <c r="A1547" s="10"/>
      <c r="B1547" s="10"/>
      <c r="C1547" s="10"/>
    </row>
    <row r="1548" spans="1:3" x14ac:dyDescent="0.25">
      <c r="A1548" s="10"/>
      <c r="B1548" s="10"/>
      <c r="C1548" s="10"/>
    </row>
    <row r="1549" spans="1:3" x14ac:dyDescent="0.25">
      <c r="A1549" s="10"/>
      <c r="B1549" s="10"/>
      <c r="C1549" s="10"/>
    </row>
    <row r="1550" spans="1:3" x14ac:dyDescent="0.25">
      <c r="A1550" s="10"/>
      <c r="B1550" s="10"/>
      <c r="C1550" s="10"/>
    </row>
    <row r="1551" spans="1:3" x14ac:dyDescent="0.25">
      <c r="A1551" s="10"/>
      <c r="B1551" s="10"/>
      <c r="C1551" s="10"/>
    </row>
    <row r="1552" spans="1:3" x14ac:dyDescent="0.25">
      <c r="A1552" s="10"/>
      <c r="B1552" s="10"/>
      <c r="C1552" s="10"/>
    </row>
    <row r="1553" spans="1:3" x14ac:dyDescent="0.25">
      <c r="A1553" s="10"/>
      <c r="B1553" s="10"/>
      <c r="C1553" s="10"/>
    </row>
    <row r="1554" spans="1:3" x14ac:dyDescent="0.25">
      <c r="A1554" s="10"/>
      <c r="B1554" s="10"/>
      <c r="C1554" s="10"/>
    </row>
    <row r="1555" spans="1:3" x14ac:dyDescent="0.25">
      <c r="A1555" s="10"/>
      <c r="B1555" s="10"/>
      <c r="C1555" s="10"/>
    </row>
    <row r="1556" spans="1:3" x14ac:dyDescent="0.25">
      <c r="A1556" s="10"/>
      <c r="B1556" s="10"/>
      <c r="C1556" s="10"/>
    </row>
    <row r="1557" spans="1:3" x14ac:dyDescent="0.25">
      <c r="A1557" s="10"/>
      <c r="B1557" s="10"/>
      <c r="C1557" s="10"/>
    </row>
    <row r="1558" spans="1:3" x14ac:dyDescent="0.25">
      <c r="A1558" s="10"/>
      <c r="B1558" s="10"/>
      <c r="C1558" s="10"/>
    </row>
    <row r="1559" spans="1:3" x14ac:dyDescent="0.25">
      <c r="A1559" s="10"/>
      <c r="B1559" s="10"/>
      <c r="C1559" s="10"/>
    </row>
    <row r="1560" spans="1:3" x14ac:dyDescent="0.25">
      <c r="A1560" s="10"/>
      <c r="B1560" s="10"/>
      <c r="C1560" s="10"/>
    </row>
    <row r="1561" spans="1:3" x14ac:dyDescent="0.25">
      <c r="A1561" s="10"/>
      <c r="B1561" s="10"/>
      <c r="C1561" s="10"/>
    </row>
    <row r="1562" spans="1:3" x14ac:dyDescent="0.25">
      <c r="A1562" s="10"/>
      <c r="B1562" s="10"/>
      <c r="C1562" s="10"/>
    </row>
    <row r="1563" spans="1:3" x14ac:dyDescent="0.25">
      <c r="A1563" s="10"/>
      <c r="B1563" s="10"/>
      <c r="C1563" s="10"/>
    </row>
    <row r="1564" spans="1:3" x14ac:dyDescent="0.25">
      <c r="A1564" s="10"/>
      <c r="B1564" s="10"/>
      <c r="C1564" s="10"/>
    </row>
    <row r="1565" spans="1:3" x14ac:dyDescent="0.25">
      <c r="A1565" s="10"/>
      <c r="B1565" s="10"/>
      <c r="C1565" s="10"/>
    </row>
    <row r="1566" spans="1:3" x14ac:dyDescent="0.25">
      <c r="A1566" s="10"/>
      <c r="B1566" s="10"/>
      <c r="C1566" s="10"/>
    </row>
    <row r="1567" spans="1:3" x14ac:dyDescent="0.25">
      <c r="A1567" s="10"/>
      <c r="B1567" s="10"/>
      <c r="C1567" s="10"/>
    </row>
    <row r="1568" spans="1:3" x14ac:dyDescent="0.25">
      <c r="A1568" s="10"/>
      <c r="B1568" s="10"/>
      <c r="C1568" s="10"/>
    </row>
    <row r="1569" spans="1:3" x14ac:dyDescent="0.25">
      <c r="A1569" s="10"/>
      <c r="B1569" s="10"/>
      <c r="C1569" s="10"/>
    </row>
    <row r="1570" spans="1:3" x14ac:dyDescent="0.25">
      <c r="A1570" s="10"/>
      <c r="B1570" s="10"/>
      <c r="C1570" s="10"/>
    </row>
    <row r="1571" spans="1:3" x14ac:dyDescent="0.25">
      <c r="A1571" s="10"/>
      <c r="B1571" s="10"/>
      <c r="C1571" s="10"/>
    </row>
    <row r="1572" spans="1:3" x14ac:dyDescent="0.25">
      <c r="A1572" s="10"/>
      <c r="B1572" s="10"/>
      <c r="C1572" s="10"/>
    </row>
    <row r="1573" spans="1:3" x14ac:dyDescent="0.25">
      <c r="A1573" s="10"/>
      <c r="B1573" s="10"/>
      <c r="C1573" s="10"/>
    </row>
    <row r="1574" spans="1:3" x14ac:dyDescent="0.25">
      <c r="A1574" s="10"/>
      <c r="B1574" s="10"/>
      <c r="C1574" s="10"/>
    </row>
    <row r="1575" spans="1:3" x14ac:dyDescent="0.25">
      <c r="A1575" s="10"/>
      <c r="B1575" s="10"/>
      <c r="C1575" s="10"/>
    </row>
    <row r="1576" spans="1:3" x14ac:dyDescent="0.25">
      <c r="A1576" s="10"/>
      <c r="B1576" s="10"/>
      <c r="C1576" s="10"/>
    </row>
    <row r="1577" spans="1:3" x14ac:dyDescent="0.25">
      <c r="A1577" s="10"/>
      <c r="B1577" s="10"/>
      <c r="C1577" s="10"/>
    </row>
    <row r="1578" spans="1:3" x14ac:dyDescent="0.25">
      <c r="A1578" s="10"/>
      <c r="B1578" s="10"/>
      <c r="C1578" s="10"/>
    </row>
    <row r="1579" spans="1:3" x14ac:dyDescent="0.25">
      <c r="A1579" s="10"/>
      <c r="B1579" s="10"/>
      <c r="C1579" s="10"/>
    </row>
    <row r="1580" spans="1:3" x14ac:dyDescent="0.25">
      <c r="A1580" s="10"/>
      <c r="B1580" s="10"/>
      <c r="C1580" s="10"/>
    </row>
    <row r="1581" spans="1:3" x14ac:dyDescent="0.25">
      <c r="A1581" s="10"/>
      <c r="B1581" s="10"/>
      <c r="C1581" s="10"/>
    </row>
    <row r="1582" spans="1:3" x14ac:dyDescent="0.25">
      <c r="A1582" s="10"/>
      <c r="B1582" s="10"/>
      <c r="C1582" s="10"/>
    </row>
    <row r="1583" spans="1:3" x14ac:dyDescent="0.25">
      <c r="A1583" s="10"/>
      <c r="B1583" s="10"/>
      <c r="C1583" s="10"/>
    </row>
    <row r="1584" spans="1:3" x14ac:dyDescent="0.25">
      <c r="A1584" s="10"/>
      <c r="B1584" s="10"/>
      <c r="C1584" s="10"/>
    </row>
    <row r="1585" spans="1:3" x14ac:dyDescent="0.25">
      <c r="A1585" s="10"/>
      <c r="B1585" s="10"/>
      <c r="C1585" s="10"/>
    </row>
    <row r="1586" spans="1:3" x14ac:dyDescent="0.25">
      <c r="A1586" s="10"/>
      <c r="B1586" s="10"/>
      <c r="C1586" s="10"/>
    </row>
    <row r="1587" spans="1:3" x14ac:dyDescent="0.25">
      <c r="A1587" s="10"/>
      <c r="B1587" s="10"/>
      <c r="C1587" s="10"/>
    </row>
    <row r="1588" spans="1:3" x14ac:dyDescent="0.25">
      <c r="A1588" s="10"/>
      <c r="B1588" s="10"/>
      <c r="C1588" s="10"/>
    </row>
    <row r="1589" spans="1:3" x14ac:dyDescent="0.25">
      <c r="A1589" s="10"/>
      <c r="B1589" s="10"/>
      <c r="C1589" s="10"/>
    </row>
    <row r="1590" spans="1:3" x14ac:dyDescent="0.25">
      <c r="A1590" s="10"/>
      <c r="B1590" s="10"/>
      <c r="C1590" s="10"/>
    </row>
    <row r="1591" spans="1:3" x14ac:dyDescent="0.25">
      <c r="A1591" s="10"/>
      <c r="B1591" s="10"/>
      <c r="C1591" s="10"/>
    </row>
    <row r="1592" spans="1:3" x14ac:dyDescent="0.25">
      <c r="A1592" s="10"/>
      <c r="B1592" s="10"/>
      <c r="C1592" s="10"/>
    </row>
    <row r="1593" spans="1:3" x14ac:dyDescent="0.25">
      <c r="A1593" s="10"/>
      <c r="B1593" s="10"/>
      <c r="C1593" s="10"/>
    </row>
    <row r="1594" spans="1:3" x14ac:dyDescent="0.25">
      <c r="A1594" s="10"/>
      <c r="B1594" s="10"/>
      <c r="C1594" s="10"/>
    </row>
    <row r="1595" spans="1:3" x14ac:dyDescent="0.25">
      <c r="A1595" s="10"/>
      <c r="B1595" s="10"/>
      <c r="C1595" s="10"/>
    </row>
    <row r="1596" spans="1:3" x14ac:dyDescent="0.25">
      <c r="A1596" s="10"/>
      <c r="B1596" s="10"/>
      <c r="C1596" s="10"/>
    </row>
    <row r="1597" spans="1:3" x14ac:dyDescent="0.25">
      <c r="A1597" s="10"/>
      <c r="B1597" s="10"/>
      <c r="C1597" s="10"/>
    </row>
    <row r="1598" spans="1:3" x14ac:dyDescent="0.25">
      <c r="A1598" s="10"/>
      <c r="B1598" s="10"/>
      <c r="C1598" s="10"/>
    </row>
    <row r="1599" spans="1:3" x14ac:dyDescent="0.25">
      <c r="A1599" s="10"/>
      <c r="B1599" s="10"/>
      <c r="C1599" s="10"/>
    </row>
    <row r="1600" spans="1:3" x14ac:dyDescent="0.25">
      <c r="A1600" s="10"/>
      <c r="B1600" s="10"/>
      <c r="C1600" s="10"/>
    </row>
    <row r="1601" spans="1:3" x14ac:dyDescent="0.25">
      <c r="A1601" s="10"/>
      <c r="B1601" s="10"/>
      <c r="C1601" s="10"/>
    </row>
    <row r="1602" spans="1:3" x14ac:dyDescent="0.25">
      <c r="A1602" s="10"/>
      <c r="B1602" s="10"/>
      <c r="C1602" s="10"/>
    </row>
    <row r="1603" spans="1:3" x14ac:dyDescent="0.25">
      <c r="A1603" s="10"/>
      <c r="B1603" s="10"/>
      <c r="C1603" s="10"/>
    </row>
    <row r="1604" spans="1:3" x14ac:dyDescent="0.25">
      <c r="A1604" s="10"/>
      <c r="B1604" s="10"/>
      <c r="C1604" s="10"/>
    </row>
    <row r="1605" spans="1:3" x14ac:dyDescent="0.25">
      <c r="A1605" s="10"/>
      <c r="B1605" s="10"/>
      <c r="C1605" s="10"/>
    </row>
    <row r="1606" spans="1:3" x14ac:dyDescent="0.25">
      <c r="A1606" s="10"/>
      <c r="B1606" s="10"/>
      <c r="C1606" s="10"/>
    </row>
    <row r="1607" spans="1:3" x14ac:dyDescent="0.25">
      <c r="A1607" s="10"/>
      <c r="B1607" s="10"/>
      <c r="C1607" s="10"/>
    </row>
    <row r="1608" spans="1:3" x14ac:dyDescent="0.25">
      <c r="A1608" s="10"/>
      <c r="B1608" s="10"/>
      <c r="C1608" s="10"/>
    </row>
    <row r="1609" spans="1:3" x14ac:dyDescent="0.25">
      <c r="A1609" s="10"/>
      <c r="B1609" s="10"/>
      <c r="C1609" s="10"/>
    </row>
    <row r="1610" spans="1:3" x14ac:dyDescent="0.25">
      <c r="A1610" s="10"/>
      <c r="B1610" s="10"/>
      <c r="C1610" s="10"/>
    </row>
    <row r="1611" spans="1:3" x14ac:dyDescent="0.25">
      <c r="A1611" s="10"/>
      <c r="B1611" s="10"/>
      <c r="C1611" s="10"/>
    </row>
    <row r="1612" spans="1:3" x14ac:dyDescent="0.25">
      <c r="A1612" s="10"/>
      <c r="B1612" s="10"/>
      <c r="C1612" s="10"/>
    </row>
    <row r="1613" spans="1:3" x14ac:dyDescent="0.25">
      <c r="A1613" s="10"/>
      <c r="B1613" s="10"/>
      <c r="C1613" s="10"/>
    </row>
    <row r="1614" spans="1:3" x14ac:dyDescent="0.25">
      <c r="A1614" s="10"/>
      <c r="B1614" s="10"/>
      <c r="C1614" s="10"/>
    </row>
    <row r="1615" spans="1:3" x14ac:dyDescent="0.25">
      <c r="A1615" s="10"/>
      <c r="B1615" s="10"/>
      <c r="C1615" s="10"/>
    </row>
    <row r="1616" spans="1:3" x14ac:dyDescent="0.25">
      <c r="A1616" s="10"/>
      <c r="B1616" s="10"/>
      <c r="C1616" s="10"/>
    </row>
    <row r="1617" spans="1:3" x14ac:dyDescent="0.25">
      <c r="A1617" s="10"/>
      <c r="B1617" s="10"/>
      <c r="C1617" s="10"/>
    </row>
    <row r="1618" spans="1:3" x14ac:dyDescent="0.25">
      <c r="A1618" s="10"/>
      <c r="B1618" s="10"/>
      <c r="C1618" s="10"/>
    </row>
    <row r="1619" spans="1:3" x14ac:dyDescent="0.25">
      <c r="A1619" s="10"/>
      <c r="B1619" s="10"/>
      <c r="C1619" s="10"/>
    </row>
    <row r="1620" spans="1:3" x14ac:dyDescent="0.25">
      <c r="A1620" s="10"/>
      <c r="B1620" s="10"/>
      <c r="C1620" s="10"/>
    </row>
    <row r="1621" spans="1:3" x14ac:dyDescent="0.25">
      <c r="A1621" s="10"/>
      <c r="B1621" s="10"/>
      <c r="C1621" s="10"/>
    </row>
    <row r="1622" spans="1:3" x14ac:dyDescent="0.25">
      <c r="A1622" s="10"/>
      <c r="B1622" s="10"/>
      <c r="C1622" s="10"/>
    </row>
    <row r="1623" spans="1:3" x14ac:dyDescent="0.25">
      <c r="A1623" s="10"/>
      <c r="B1623" s="10"/>
      <c r="C1623" s="10"/>
    </row>
    <row r="1624" spans="1:3" x14ac:dyDescent="0.25">
      <c r="A1624" s="10"/>
      <c r="B1624" s="10"/>
      <c r="C1624" s="10"/>
    </row>
    <row r="1625" spans="1:3" x14ac:dyDescent="0.25">
      <c r="A1625" s="10"/>
      <c r="B1625" s="10"/>
      <c r="C1625" s="10"/>
    </row>
    <row r="1626" spans="1:3" x14ac:dyDescent="0.25">
      <c r="A1626" s="10"/>
      <c r="B1626" s="10"/>
      <c r="C1626" s="10"/>
    </row>
    <row r="1627" spans="1:3" x14ac:dyDescent="0.25">
      <c r="A1627" s="10"/>
      <c r="B1627" s="10"/>
      <c r="C1627" s="10"/>
    </row>
    <row r="1628" spans="1:3" x14ac:dyDescent="0.25">
      <c r="A1628" s="10"/>
      <c r="B1628" s="10"/>
      <c r="C1628" s="10"/>
    </row>
    <row r="1629" spans="1:3" x14ac:dyDescent="0.25">
      <c r="A1629" s="10"/>
      <c r="B1629" s="10"/>
      <c r="C1629" s="10"/>
    </row>
    <row r="1630" spans="1:3" x14ac:dyDescent="0.25">
      <c r="A1630" s="10"/>
      <c r="B1630" s="10"/>
      <c r="C1630" s="10"/>
    </row>
    <row r="1631" spans="1:3" x14ac:dyDescent="0.25">
      <c r="A1631" s="10"/>
      <c r="B1631" s="10"/>
      <c r="C1631" s="10"/>
    </row>
    <row r="1632" spans="1:3" x14ac:dyDescent="0.25">
      <c r="A1632" s="10"/>
      <c r="B1632" s="10"/>
      <c r="C1632" s="10"/>
    </row>
    <row r="1633" spans="1:3" x14ac:dyDescent="0.25">
      <c r="A1633" s="10"/>
      <c r="B1633" s="10"/>
      <c r="C1633" s="10"/>
    </row>
    <row r="1634" spans="1:3" x14ac:dyDescent="0.25">
      <c r="A1634" s="10"/>
      <c r="B1634" s="10"/>
      <c r="C1634" s="10"/>
    </row>
    <row r="1635" spans="1:3" x14ac:dyDescent="0.25">
      <c r="A1635" s="10"/>
      <c r="B1635" s="10"/>
      <c r="C1635" s="10"/>
    </row>
    <row r="1636" spans="1:3" x14ac:dyDescent="0.25">
      <c r="A1636" s="10"/>
      <c r="B1636" s="10"/>
      <c r="C1636" s="10"/>
    </row>
    <row r="1637" spans="1:3" x14ac:dyDescent="0.25">
      <c r="A1637" s="10"/>
      <c r="B1637" s="10"/>
      <c r="C1637" s="10"/>
    </row>
    <row r="1638" spans="1:3" x14ac:dyDescent="0.25">
      <c r="A1638" s="10"/>
      <c r="B1638" s="10"/>
      <c r="C1638" s="10"/>
    </row>
    <row r="1639" spans="1:3" x14ac:dyDescent="0.25">
      <c r="A1639" s="10"/>
      <c r="B1639" s="10"/>
      <c r="C1639" s="10"/>
    </row>
    <row r="1640" spans="1:3" x14ac:dyDescent="0.25">
      <c r="A1640" s="10"/>
      <c r="B1640" s="10"/>
      <c r="C1640" s="10"/>
    </row>
    <row r="1641" spans="1:3" x14ac:dyDescent="0.25">
      <c r="A1641" s="10"/>
      <c r="B1641" s="10"/>
      <c r="C1641" s="10"/>
    </row>
    <row r="1642" spans="1:3" x14ac:dyDescent="0.25">
      <c r="A1642" s="10"/>
      <c r="B1642" s="10"/>
      <c r="C1642" s="10"/>
    </row>
    <row r="1643" spans="1:3" x14ac:dyDescent="0.25">
      <c r="A1643" s="10"/>
      <c r="B1643" s="10"/>
      <c r="C1643" s="10"/>
    </row>
    <row r="1644" spans="1:3" x14ac:dyDescent="0.25">
      <c r="A1644" s="10"/>
      <c r="B1644" s="10"/>
      <c r="C1644" s="10"/>
    </row>
    <row r="1645" spans="1:3" x14ac:dyDescent="0.25">
      <c r="A1645" s="10"/>
      <c r="B1645" s="10"/>
      <c r="C1645" s="10"/>
    </row>
    <row r="1646" spans="1:3" x14ac:dyDescent="0.25">
      <c r="A1646" s="10"/>
      <c r="B1646" s="10"/>
      <c r="C1646" s="10"/>
    </row>
    <row r="1647" spans="1:3" x14ac:dyDescent="0.25">
      <c r="A1647" s="10"/>
      <c r="B1647" s="10"/>
      <c r="C1647" s="10"/>
    </row>
    <row r="1648" spans="1:3" x14ac:dyDescent="0.25">
      <c r="A1648" s="10"/>
      <c r="B1648" s="10"/>
      <c r="C1648" s="10"/>
    </row>
    <row r="1649" spans="1:3" x14ac:dyDescent="0.25">
      <c r="A1649" s="10"/>
      <c r="B1649" s="10"/>
      <c r="C1649" s="10"/>
    </row>
    <row r="1650" spans="1:3" x14ac:dyDescent="0.25">
      <c r="A1650" s="10"/>
      <c r="B1650" s="10"/>
      <c r="C1650" s="10"/>
    </row>
    <row r="1651" spans="1:3" x14ac:dyDescent="0.25">
      <c r="A1651" s="10"/>
      <c r="B1651" s="10"/>
      <c r="C1651" s="10"/>
    </row>
    <row r="1652" spans="1:3" x14ac:dyDescent="0.25">
      <c r="A1652" s="10"/>
      <c r="B1652" s="10"/>
      <c r="C1652" s="10"/>
    </row>
    <row r="1653" spans="1:3" x14ac:dyDescent="0.25">
      <c r="A1653" s="10"/>
      <c r="B1653" s="10"/>
      <c r="C1653" s="10"/>
    </row>
    <row r="1654" spans="1:3" x14ac:dyDescent="0.25">
      <c r="A1654" s="10"/>
      <c r="B1654" s="10"/>
      <c r="C1654" s="10"/>
    </row>
    <row r="1655" spans="1:3" x14ac:dyDescent="0.25">
      <c r="A1655" s="10"/>
      <c r="B1655" s="10"/>
      <c r="C1655" s="10"/>
    </row>
    <row r="1656" spans="1:3" x14ac:dyDescent="0.25">
      <c r="A1656" s="10"/>
      <c r="B1656" s="10"/>
      <c r="C1656" s="10"/>
    </row>
    <row r="1657" spans="1:3" x14ac:dyDescent="0.25">
      <c r="A1657" s="10"/>
      <c r="B1657" s="10"/>
      <c r="C1657" s="10"/>
    </row>
    <row r="1658" spans="1:3" x14ac:dyDescent="0.25">
      <c r="A1658" s="10"/>
      <c r="B1658" s="10"/>
      <c r="C1658" s="10"/>
    </row>
    <row r="1659" spans="1:3" x14ac:dyDescent="0.25">
      <c r="A1659" s="10"/>
      <c r="B1659" s="10"/>
      <c r="C1659" s="10"/>
    </row>
    <row r="1660" spans="1:3" x14ac:dyDescent="0.25">
      <c r="A1660" s="10"/>
      <c r="B1660" s="10"/>
      <c r="C1660" s="10"/>
    </row>
    <row r="1661" spans="1:3" x14ac:dyDescent="0.25">
      <c r="A1661" s="10"/>
      <c r="B1661" s="10"/>
      <c r="C1661" s="10"/>
    </row>
    <row r="1662" spans="1:3" x14ac:dyDescent="0.25">
      <c r="A1662" s="10"/>
      <c r="B1662" s="10"/>
      <c r="C1662" s="10"/>
    </row>
    <row r="1663" spans="1:3" x14ac:dyDescent="0.25">
      <c r="A1663" s="10"/>
      <c r="B1663" s="10"/>
      <c r="C1663" s="10"/>
    </row>
    <row r="1664" spans="1:3" x14ac:dyDescent="0.25">
      <c r="A1664" s="10"/>
      <c r="B1664" s="10"/>
      <c r="C1664" s="10"/>
    </row>
    <row r="1665" spans="1:3" x14ac:dyDescent="0.25">
      <c r="A1665" s="10"/>
      <c r="B1665" s="10"/>
      <c r="C1665" s="10"/>
    </row>
    <row r="1666" spans="1:3" x14ac:dyDescent="0.25">
      <c r="A1666" s="10"/>
      <c r="B1666" s="10"/>
      <c r="C1666" s="10"/>
    </row>
    <row r="1667" spans="1:3" x14ac:dyDescent="0.25">
      <c r="A1667" s="10"/>
      <c r="B1667" s="10"/>
      <c r="C1667" s="10"/>
    </row>
    <row r="1668" spans="1:3" x14ac:dyDescent="0.25">
      <c r="A1668" s="10"/>
      <c r="B1668" s="10"/>
      <c r="C1668" s="10"/>
    </row>
    <row r="1669" spans="1:3" x14ac:dyDescent="0.25">
      <c r="A1669" s="10"/>
      <c r="B1669" s="10"/>
      <c r="C1669" s="10"/>
    </row>
    <row r="1670" spans="1:3" x14ac:dyDescent="0.25">
      <c r="A1670" s="10"/>
      <c r="B1670" s="10"/>
      <c r="C1670" s="10"/>
    </row>
    <row r="1671" spans="1:3" x14ac:dyDescent="0.25">
      <c r="A1671" s="10"/>
      <c r="B1671" s="10"/>
      <c r="C1671" s="10"/>
    </row>
    <row r="1672" spans="1:3" x14ac:dyDescent="0.25">
      <c r="A1672" s="10"/>
      <c r="B1672" s="10"/>
      <c r="C1672" s="10"/>
    </row>
    <row r="1673" spans="1:3" x14ac:dyDescent="0.25">
      <c r="A1673" s="10"/>
      <c r="B1673" s="10"/>
      <c r="C1673" s="10"/>
    </row>
    <row r="1674" spans="1:3" x14ac:dyDescent="0.25">
      <c r="A1674" s="10"/>
      <c r="B1674" s="10"/>
      <c r="C1674" s="10"/>
    </row>
    <row r="1675" spans="1:3" x14ac:dyDescent="0.25">
      <c r="A1675" s="10"/>
      <c r="B1675" s="10"/>
      <c r="C1675" s="10"/>
    </row>
    <row r="1676" spans="1:3" x14ac:dyDescent="0.25">
      <c r="A1676" s="10"/>
      <c r="B1676" s="10"/>
      <c r="C1676" s="10"/>
    </row>
    <row r="1677" spans="1:3" x14ac:dyDescent="0.25">
      <c r="A1677" s="10"/>
      <c r="B1677" s="10"/>
      <c r="C1677" s="10"/>
    </row>
    <row r="1678" spans="1:3" x14ac:dyDescent="0.25">
      <c r="A1678" s="10"/>
      <c r="B1678" s="10"/>
      <c r="C1678" s="10"/>
    </row>
    <row r="1679" spans="1:3" x14ac:dyDescent="0.25">
      <c r="A1679" s="10"/>
      <c r="B1679" s="10"/>
      <c r="C1679" s="10"/>
    </row>
    <row r="1680" spans="1:3" x14ac:dyDescent="0.25">
      <c r="A1680" s="10"/>
      <c r="B1680" s="10"/>
      <c r="C1680" s="10"/>
    </row>
    <row r="1681" spans="1:3" x14ac:dyDescent="0.25">
      <c r="A1681" s="10"/>
      <c r="B1681" s="10"/>
      <c r="C1681" s="10"/>
    </row>
    <row r="1682" spans="1:3" x14ac:dyDescent="0.25">
      <c r="A1682" s="10"/>
      <c r="B1682" s="10"/>
      <c r="C1682" s="10"/>
    </row>
    <row r="1683" spans="1:3" x14ac:dyDescent="0.25">
      <c r="A1683" s="10"/>
      <c r="B1683" s="10"/>
      <c r="C1683" s="10"/>
    </row>
    <row r="1684" spans="1:3" x14ac:dyDescent="0.25">
      <c r="A1684" s="10"/>
      <c r="B1684" s="10"/>
      <c r="C1684" s="10"/>
    </row>
    <row r="1685" spans="1:3" x14ac:dyDescent="0.25">
      <c r="A1685" s="10"/>
      <c r="B1685" s="10"/>
      <c r="C1685" s="10"/>
    </row>
    <row r="1686" spans="1:3" x14ac:dyDescent="0.25">
      <c r="A1686" s="10"/>
      <c r="B1686" s="10"/>
      <c r="C1686" s="10"/>
    </row>
    <row r="1687" spans="1:3" x14ac:dyDescent="0.25">
      <c r="A1687" s="10"/>
      <c r="B1687" s="10"/>
      <c r="C1687" s="10"/>
    </row>
    <row r="1688" spans="1:3" x14ac:dyDescent="0.25">
      <c r="A1688" s="10"/>
      <c r="B1688" s="10"/>
      <c r="C1688" s="10"/>
    </row>
    <row r="1689" spans="1:3" x14ac:dyDescent="0.25">
      <c r="A1689" s="10"/>
      <c r="B1689" s="10"/>
      <c r="C1689" s="10"/>
    </row>
    <row r="1690" spans="1:3" x14ac:dyDescent="0.25">
      <c r="A1690" s="10"/>
      <c r="B1690" s="10"/>
      <c r="C1690" s="10"/>
    </row>
    <row r="1691" spans="1:3" x14ac:dyDescent="0.25">
      <c r="A1691" s="10"/>
      <c r="B1691" s="10"/>
      <c r="C1691" s="10"/>
    </row>
    <row r="1692" spans="1:3" x14ac:dyDescent="0.25">
      <c r="A1692" s="10"/>
      <c r="B1692" s="10"/>
      <c r="C1692" s="10"/>
    </row>
    <row r="1693" spans="1:3" x14ac:dyDescent="0.25">
      <c r="A1693" s="10"/>
      <c r="B1693" s="10"/>
      <c r="C1693" s="10"/>
    </row>
    <row r="1694" spans="1:3" x14ac:dyDescent="0.25">
      <c r="A1694" s="10"/>
      <c r="B1694" s="10"/>
      <c r="C1694" s="10"/>
    </row>
    <row r="1695" spans="1:3" x14ac:dyDescent="0.25">
      <c r="A1695" s="10"/>
      <c r="B1695" s="10"/>
      <c r="C1695" s="10"/>
    </row>
    <row r="1696" spans="1:3" x14ac:dyDescent="0.25">
      <c r="A1696" s="10"/>
      <c r="B1696" s="10"/>
      <c r="C1696" s="10"/>
    </row>
    <row r="1697" spans="1:3" x14ac:dyDescent="0.25">
      <c r="A1697" s="10"/>
      <c r="B1697" s="10"/>
      <c r="C1697" s="10"/>
    </row>
    <row r="1698" spans="1:3" x14ac:dyDescent="0.25">
      <c r="A1698" s="10"/>
      <c r="B1698" s="10"/>
      <c r="C1698" s="10"/>
    </row>
    <row r="1699" spans="1:3" x14ac:dyDescent="0.25">
      <c r="A1699" s="10"/>
      <c r="B1699" s="10"/>
      <c r="C1699" s="10"/>
    </row>
    <row r="1700" spans="1:3" x14ac:dyDescent="0.25">
      <c r="A1700" s="10"/>
      <c r="B1700" s="10"/>
      <c r="C1700" s="10"/>
    </row>
    <row r="1701" spans="1:3" x14ac:dyDescent="0.25">
      <c r="A1701" s="10"/>
      <c r="B1701" s="10"/>
      <c r="C1701" s="10"/>
    </row>
    <row r="1702" spans="1:3" x14ac:dyDescent="0.25">
      <c r="A1702" s="10"/>
      <c r="B1702" s="10"/>
      <c r="C1702" s="10"/>
    </row>
    <row r="1703" spans="1:3" x14ac:dyDescent="0.25">
      <c r="A1703" s="10"/>
      <c r="B1703" s="10"/>
      <c r="C1703" s="10"/>
    </row>
    <row r="1704" spans="1:3" x14ac:dyDescent="0.25">
      <c r="A1704" s="10"/>
      <c r="B1704" s="10"/>
      <c r="C1704" s="10"/>
    </row>
    <row r="1705" spans="1:3" x14ac:dyDescent="0.25">
      <c r="A1705" s="10"/>
      <c r="B1705" s="10"/>
      <c r="C1705" s="10"/>
    </row>
    <row r="1706" spans="1:3" x14ac:dyDescent="0.25">
      <c r="A1706" s="10"/>
      <c r="B1706" s="10"/>
      <c r="C1706" s="10"/>
    </row>
    <row r="1707" spans="1:3" x14ac:dyDescent="0.25">
      <c r="A1707" s="10"/>
      <c r="B1707" s="10"/>
      <c r="C1707" s="10"/>
    </row>
    <row r="1708" spans="1:3" x14ac:dyDescent="0.25">
      <c r="A1708" s="10"/>
      <c r="B1708" s="10"/>
      <c r="C1708" s="10"/>
    </row>
    <row r="1709" spans="1:3" x14ac:dyDescent="0.25">
      <c r="A1709" s="10"/>
      <c r="B1709" s="10"/>
      <c r="C1709" s="10"/>
    </row>
    <row r="1710" spans="1:3" x14ac:dyDescent="0.25">
      <c r="A1710" s="10"/>
      <c r="B1710" s="10"/>
      <c r="C1710" s="10"/>
    </row>
    <row r="1711" spans="1:3" x14ac:dyDescent="0.25">
      <c r="A1711" s="10"/>
      <c r="B1711" s="10"/>
      <c r="C1711" s="10"/>
    </row>
    <row r="1712" spans="1:3" x14ac:dyDescent="0.25">
      <c r="A1712" s="10"/>
      <c r="B1712" s="10"/>
      <c r="C1712" s="10"/>
    </row>
    <row r="1713" spans="1:3" x14ac:dyDescent="0.25">
      <c r="A1713" s="10"/>
      <c r="B1713" s="10"/>
      <c r="C1713" s="10"/>
    </row>
    <row r="1714" spans="1:3" x14ac:dyDescent="0.25">
      <c r="A1714" s="10"/>
      <c r="B1714" s="10"/>
      <c r="C1714" s="10"/>
    </row>
    <row r="1715" spans="1:3" x14ac:dyDescent="0.25">
      <c r="A1715" s="10"/>
      <c r="B1715" s="10"/>
      <c r="C1715" s="10"/>
    </row>
    <row r="1716" spans="1:3" x14ac:dyDescent="0.25">
      <c r="A1716" s="10"/>
      <c r="B1716" s="10"/>
      <c r="C1716" s="10"/>
    </row>
    <row r="1717" spans="1:3" x14ac:dyDescent="0.25">
      <c r="A1717" s="10"/>
      <c r="B1717" s="10"/>
      <c r="C1717" s="10"/>
    </row>
    <row r="1718" spans="1:3" x14ac:dyDescent="0.25">
      <c r="A1718" s="10"/>
      <c r="B1718" s="10"/>
      <c r="C1718" s="10"/>
    </row>
    <row r="1719" spans="1:3" x14ac:dyDescent="0.25">
      <c r="A1719" s="10"/>
      <c r="B1719" s="10"/>
      <c r="C1719" s="10"/>
    </row>
    <row r="1720" spans="1:3" x14ac:dyDescent="0.25">
      <c r="A1720" s="10"/>
      <c r="B1720" s="10"/>
      <c r="C1720" s="10"/>
    </row>
    <row r="1721" spans="1:3" x14ac:dyDescent="0.25">
      <c r="A1721" s="10"/>
      <c r="B1721" s="10"/>
      <c r="C1721" s="10"/>
    </row>
    <row r="1722" spans="1:3" x14ac:dyDescent="0.25">
      <c r="A1722" s="10"/>
      <c r="B1722" s="10"/>
      <c r="C1722" s="10"/>
    </row>
    <row r="1723" spans="1:3" x14ac:dyDescent="0.25">
      <c r="A1723" s="10"/>
      <c r="B1723" s="10"/>
      <c r="C1723" s="10"/>
    </row>
    <row r="1724" spans="1:3" x14ac:dyDescent="0.25">
      <c r="A1724" s="10"/>
      <c r="B1724" s="10"/>
      <c r="C1724" s="10"/>
    </row>
    <row r="1725" spans="1:3" x14ac:dyDescent="0.25">
      <c r="A1725" s="10"/>
      <c r="B1725" s="10"/>
      <c r="C1725" s="10"/>
    </row>
    <row r="1726" spans="1:3" x14ac:dyDescent="0.25">
      <c r="A1726" s="10"/>
      <c r="B1726" s="10"/>
      <c r="C1726" s="10"/>
    </row>
    <row r="1727" spans="1:3" x14ac:dyDescent="0.25">
      <c r="A1727" s="10"/>
      <c r="B1727" s="10"/>
      <c r="C1727" s="10"/>
    </row>
    <row r="1728" spans="1:3" x14ac:dyDescent="0.25">
      <c r="A1728" s="10"/>
      <c r="B1728" s="10"/>
      <c r="C1728" s="10"/>
    </row>
    <row r="1729" spans="1:3" x14ac:dyDescent="0.25">
      <c r="A1729" s="10"/>
      <c r="B1729" s="10"/>
      <c r="C1729" s="10"/>
    </row>
    <row r="1730" spans="1:3" x14ac:dyDescent="0.25">
      <c r="A1730" s="10"/>
      <c r="B1730" s="10"/>
      <c r="C1730" s="10"/>
    </row>
    <row r="1731" spans="1:3" x14ac:dyDescent="0.25">
      <c r="A1731" s="10"/>
      <c r="B1731" s="10"/>
      <c r="C1731" s="10"/>
    </row>
    <row r="1732" spans="1:3" x14ac:dyDescent="0.25">
      <c r="A1732" s="10"/>
      <c r="B1732" s="10"/>
      <c r="C1732" s="10"/>
    </row>
    <row r="1733" spans="1:3" x14ac:dyDescent="0.25">
      <c r="A1733" s="10"/>
      <c r="B1733" s="10"/>
      <c r="C1733" s="10"/>
    </row>
    <row r="1734" spans="1:3" x14ac:dyDescent="0.25">
      <c r="A1734" s="10"/>
      <c r="B1734" s="10"/>
      <c r="C1734" s="10"/>
    </row>
    <row r="1735" spans="1:3" x14ac:dyDescent="0.25">
      <c r="A1735" s="10"/>
      <c r="B1735" s="10"/>
      <c r="C1735" s="10"/>
    </row>
    <row r="1736" spans="1:3" x14ac:dyDescent="0.25">
      <c r="A1736" s="10"/>
      <c r="B1736" s="10"/>
      <c r="C1736" s="10"/>
    </row>
    <row r="1737" spans="1:3" x14ac:dyDescent="0.25">
      <c r="A1737" s="10"/>
      <c r="B1737" s="10"/>
      <c r="C1737" s="10"/>
    </row>
    <row r="1738" spans="1:3" x14ac:dyDescent="0.25">
      <c r="A1738" s="10"/>
      <c r="B1738" s="10"/>
      <c r="C1738" s="10"/>
    </row>
    <row r="1739" spans="1:3" x14ac:dyDescent="0.25">
      <c r="A1739" s="10"/>
      <c r="B1739" s="10"/>
      <c r="C1739" s="10"/>
    </row>
    <row r="1740" spans="1:3" x14ac:dyDescent="0.25">
      <c r="A1740" s="10"/>
      <c r="B1740" s="10"/>
      <c r="C1740" s="10"/>
    </row>
    <row r="1741" spans="1:3" x14ac:dyDescent="0.25">
      <c r="A1741" s="10"/>
      <c r="B1741" s="10"/>
      <c r="C1741" s="10"/>
    </row>
    <row r="1742" spans="1:3" x14ac:dyDescent="0.25">
      <c r="A1742" s="10"/>
      <c r="B1742" s="10"/>
      <c r="C1742" s="10"/>
    </row>
    <row r="1743" spans="1:3" x14ac:dyDescent="0.25">
      <c r="A1743" s="10"/>
      <c r="B1743" s="10"/>
      <c r="C1743" s="10"/>
    </row>
    <row r="1744" spans="1:3" x14ac:dyDescent="0.25">
      <c r="A1744" s="10"/>
      <c r="B1744" s="10"/>
      <c r="C1744" s="10"/>
    </row>
    <row r="1745" spans="1:3" x14ac:dyDescent="0.25">
      <c r="A1745" s="10"/>
      <c r="B1745" s="10"/>
      <c r="C1745" s="10"/>
    </row>
    <row r="1746" spans="1:3" x14ac:dyDescent="0.25">
      <c r="A1746" s="10"/>
      <c r="B1746" s="10"/>
      <c r="C1746" s="10"/>
    </row>
    <row r="1747" spans="1:3" x14ac:dyDescent="0.25">
      <c r="A1747" s="10"/>
      <c r="B1747" s="10"/>
      <c r="C1747" s="10"/>
    </row>
    <row r="1748" spans="1:3" x14ac:dyDescent="0.25">
      <c r="A1748" s="10"/>
      <c r="B1748" s="10"/>
      <c r="C1748" s="10"/>
    </row>
    <row r="1749" spans="1:3" x14ac:dyDescent="0.25">
      <c r="A1749" s="10"/>
      <c r="B1749" s="10"/>
      <c r="C1749" s="10"/>
    </row>
    <row r="1750" spans="1:3" x14ac:dyDescent="0.25">
      <c r="A1750" s="10"/>
      <c r="B1750" s="10"/>
      <c r="C1750" s="10"/>
    </row>
    <row r="1751" spans="1:3" x14ac:dyDescent="0.25">
      <c r="A1751" s="10"/>
      <c r="B1751" s="10"/>
      <c r="C1751" s="10"/>
    </row>
    <row r="1752" spans="1:3" x14ac:dyDescent="0.25">
      <c r="A1752" s="10"/>
      <c r="B1752" s="10"/>
      <c r="C1752" s="10"/>
    </row>
    <row r="1753" spans="1:3" x14ac:dyDescent="0.25">
      <c r="A1753" s="10"/>
      <c r="B1753" s="10"/>
      <c r="C1753" s="10"/>
    </row>
    <row r="1754" spans="1:3" x14ac:dyDescent="0.25">
      <c r="A1754" s="10"/>
      <c r="B1754" s="10"/>
      <c r="C1754" s="10"/>
    </row>
    <row r="1755" spans="1:3" x14ac:dyDescent="0.25">
      <c r="A1755" s="10"/>
      <c r="B1755" s="10"/>
      <c r="C1755" s="10"/>
    </row>
    <row r="1756" spans="1:3" x14ac:dyDescent="0.25">
      <c r="A1756" s="10"/>
      <c r="B1756" s="10"/>
      <c r="C1756" s="10"/>
    </row>
    <row r="1757" spans="1:3" x14ac:dyDescent="0.25">
      <c r="A1757" s="10"/>
      <c r="B1757" s="10"/>
      <c r="C1757" s="10"/>
    </row>
    <row r="1758" spans="1:3" x14ac:dyDescent="0.25">
      <c r="A1758" s="10"/>
      <c r="B1758" s="10"/>
      <c r="C1758" s="10"/>
    </row>
    <row r="1759" spans="1:3" x14ac:dyDescent="0.25">
      <c r="A1759" s="10"/>
      <c r="B1759" s="10"/>
      <c r="C1759" s="10"/>
    </row>
    <row r="1760" spans="1:3" x14ac:dyDescent="0.25">
      <c r="A1760" s="10"/>
      <c r="B1760" s="10"/>
      <c r="C1760" s="10"/>
    </row>
    <row r="1761" spans="1:3" x14ac:dyDescent="0.25">
      <c r="A1761" s="10"/>
      <c r="B1761" s="10"/>
      <c r="C1761" s="10"/>
    </row>
    <row r="1762" spans="1:3" x14ac:dyDescent="0.25">
      <c r="A1762" s="10"/>
      <c r="B1762" s="10"/>
      <c r="C1762" s="10"/>
    </row>
    <row r="1763" spans="1:3" x14ac:dyDescent="0.25">
      <c r="A1763" s="10"/>
      <c r="B1763" s="10"/>
      <c r="C1763" s="10"/>
    </row>
    <row r="1764" spans="1:3" x14ac:dyDescent="0.25">
      <c r="A1764" s="10"/>
      <c r="B1764" s="10"/>
      <c r="C1764" s="10"/>
    </row>
    <row r="1765" spans="1:3" x14ac:dyDescent="0.25">
      <c r="A1765" s="10"/>
      <c r="B1765" s="10"/>
      <c r="C1765" s="10"/>
    </row>
    <row r="1766" spans="1:3" x14ac:dyDescent="0.25">
      <c r="A1766" s="10"/>
      <c r="B1766" s="10"/>
      <c r="C1766" s="10"/>
    </row>
    <row r="1767" spans="1:3" x14ac:dyDescent="0.25">
      <c r="A1767" s="10"/>
      <c r="B1767" s="10"/>
      <c r="C1767" s="10"/>
    </row>
    <row r="1768" spans="1:3" x14ac:dyDescent="0.25">
      <c r="A1768" s="10"/>
      <c r="B1768" s="10"/>
      <c r="C1768" s="10"/>
    </row>
    <row r="1769" spans="1:3" x14ac:dyDescent="0.25">
      <c r="A1769" s="10"/>
      <c r="B1769" s="10"/>
      <c r="C1769" s="10"/>
    </row>
    <row r="1770" spans="1:3" x14ac:dyDescent="0.25">
      <c r="A1770" s="10"/>
      <c r="B1770" s="10"/>
      <c r="C1770" s="10"/>
    </row>
    <row r="1771" spans="1:3" x14ac:dyDescent="0.25">
      <c r="A1771" s="10"/>
      <c r="B1771" s="10"/>
      <c r="C1771" s="10"/>
    </row>
    <row r="1772" spans="1:3" x14ac:dyDescent="0.25">
      <c r="A1772" s="10"/>
      <c r="B1772" s="10"/>
      <c r="C1772" s="10"/>
    </row>
    <row r="1773" spans="1:3" x14ac:dyDescent="0.25">
      <c r="A1773" s="10"/>
      <c r="B1773" s="10"/>
      <c r="C1773" s="10"/>
    </row>
    <row r="1774" spans="1:3" x14ac:dyDescent="0.25">
      <c r="A1774" s="10"/>
      <c r="B1774" s="10"/>
      <c r="C1774" s="10"/>
    </row>
    <row r="1775" spans="1:3" x14ac:dyDescent="0.25">
      <c r="A1775" s="10"/>
      <c r="B1775" s="10"/>
      <c r="C1775" s="10"/>
    </row>
    <row r="1776" spans="1:3" x14ac:dyDescent="0.25">
      <c r="A1776" s="10"/>
      <c r="B1776" s="10"/>
      <c r="C1776" s="10"/>
    </row>
    <row r="1777" spans="1:3" x14ac:dyDescent="0.25">
      <c r="A1777" s="10"/>
      <c r="B1777" s="10"/>
      <c r="C1777" s="10"/>
    </row>
    <row r="1778" spans="1:3" x14ac:dyDescent="0.25">
      <c r="A1778" s="10"/>
      <c r="B1778" s="10"/>
      <c r="C1778" s="10"/>
    </row>
    <row r="1779" spans="1:3" x14ac:dyDescent="0.25">
      <c r="A1779" s="10"/>
      <c r="B1779" s="10"/>
      <c r="C1779" s="10"/>
    </row>
    <row r="1780" spans="1:3" x14ac:dyDescent="0.25">
      <c r="A1780" s="10"/>
      <c r="B1780" s="10"/>
      <c r="C1780" s="10"/>
    </row>
    <row r="1781" spans="1:3" x14ac:dyDescent="0.25">
      <c r="A1781" s="10"/>
      <c r="B1781" s="10"/>
      <c r="C1781" s="10"/>
    </row>
    <row r="1782" spans="1:3" x14ac:dyDescent="0.25">
      <c r="A1782" s="10"/>
      <c r="B1782" s="10"/>
      <c r="C1782" s="10"/>
    </row>
    <row r="1783" spans="1:3" x14ac:dyDescent="0.25">
      <c r="A1783" s="10"/>
      <c r="B1783" s="10"/>
      <c r="C1783" s="10"/>
    </row>
    <row r="1784" spans="1:3" x14ac:dyDescent="0.25">
      <c r="A1784" s="10"/>
      <c r="B1784" s="10"/>
      <c r="C1784" s="10"/>
    </row>
    <row r="1785" spans="1:3" x14ac:dyDescent="0.25">
      <c r="A1785" s="10"/>
      <c r="B1785" s="10"/>
      <c r="C1785" s="10"/>
    </row>
    <row r="1786" spans="1:3" x14ac:dyDescent="0.25">
      <c r="A1786" s="10"/>
      <c r="B1786" s="10"/>
      <c r="C1786" s="10"/>
    </row>
    <row r="1787" spans="1:3" x14ac:dyDescent="0.25">
      <c r="A1787" s="10"/>
      <c r="B1787" s="10"/>
      <c r="C1787" s="10"/>
    </row>
    <row r="1788" spans="1:3" x14ac:dyDescent="0.25">
      <c r="A1788" s="10"/>
      <c r="B1788" s="10"/>
      <c r="C1788" s="10"/>
    </row>
    <row r="1789" spans="1:3" x14ac:dyDescent="0.25">
      <c r="A1789" s="10"/>
      <c r="B1789" s="10"/>
      <c r="C1789" s="10"/>
    </row>
    <row r="1790" spans="1:3" x14ac:dyDescent="0.25">
      <c r="A1790" s="10"/>
      <c r="B1790" s="10"/>
      <c r="C1790" s="10"/>
    </row>
    <row r="1791" spans="1:3" x14ac:dyDescent="0.25">
      <c r="A1791" s="10"/>
      <c r="B1791" s="10"/>
      <c r="C1791" s="10"/>
    </row>
    <row r="1792" spans="1:3" x14ac:dyDescent="0.25">
      <c r="A1792" s="10"/>
      <c r="B1792" s="10"/>
      <c r="C1792" s="10"/>
    </row>
    <row r="1793" spans="1:3" x14ac:dyDescent="0.25">
      <c r="A1793" s="10"/>
      <c r="B1793" s="10"/>
      <c r="C1793" s="10"/>
    </row>
    <row r="1794" spans="1:3" x14ac:dyDescent="0.25">
      <c r="A1794" s="10"/>
      <c r="B1794" s="10"/>
      <c r="C1794" s="10"/>
    </row>
    <row r="1795" spans="1:3" x14ac:dyDescent="0.25">
      <c r="A1795" s="10"/>
      <c r="B1795" s="10"/>
      <c r="C1795" s="10"/>
    </row>
    <row r="1796" spans="1:3" x14ac:dyDescent="0.25">
      <c r="A1796" s="10"/>
      <c r="B1796" s="10"/>
      <c r="C1796" s="10"/>
    </row>
    <row r="1797" spans="1:3" x14ac:dyDescent="0.25">
      <c r="A1797" s="10"/>
      <c r="B1797" s="10"/>
      <c r="C1797" s="10"/>
    </row>
    <row r="1798" spans="1:3" x14ac:dyDescent="0.25">
      <c r="A1798" s="10"/>
      <c r="B1798" s="10"/>
      <c r="C1798" s="10"/>
    </row>
    <row r="1799" spans="1:3" x14ac:dyDescent="0.25">
      <c r="A1799" s="10"/>
      <c r="B1799" s="10"/>
      <c r="C1799" s="10"/>
    </row>
    <row r="1800" spans="1:3" x14ac:dyDescent="0.25">
      <c r="A1800" s="10"/>
      <c r="B1800" s="10"/>
      <c r="C1800" s="10"/>
    </row>
    <row r="1801" spans="1:3" x14ac:dyDescent="0.25">
      <c r="A1801" s="10"/>
      <c r="B1801" s="10"/>
      <c r="C1801" s="10"/>
    </row>
    <row r="1802" spans="1:3" x14ac:dyDescent="0.25">
      <c r="A1802" s="10"/>
      <c r="B1802" s="10"/>
      <c r="C1802" s="10"/>
    </row>
    <row r="1803" spans="1:3" x14ac:dyDescent="0.25">
      <c r="A1803" s="10"/>
      <c r="B1803" s="10"/>
      <c r="C1803" s="10"/>
    </row>
    <row r="1804" spans="1:3" x14ac:dyDescent="0.25">
      <c r="A1804" s="10"/>
      <c r="B1804" s="10"/>
      <c r="C1804" s="10"/>
    </row>
    <row r="1805" spans="1:3" x14ac:dyDescent="0.25">
      <c r="A1805" s="10"/>
      <c r="B1805" s="10"/>
      <c r="C1805" s="10"/>
    </row>
    <row r="1806" spans="1:3" x14ac:dyDescent="0.25">
      <c r="A1806" s="10"/>
      <c r="B1806" s="10"/>
      <c r="C1806" s="10"/>
    </row>
    <row r="1807" spans="1:3" x14ac:dyDescent="0.25">
      <c r="A1807" s="10"/>
      <c r="B1807" s="10"/>
      <c r="C1807" s="10"/>
    </row>
    <row r="1808" spans="1:3" x14ac:dyDescent="0.25">
      <c r="A1808" s="10"/>
      <c r="B1808" s="10"/>
      <c r="C1808" s="10"/>
    </row>
    <row r="1809" spans="1:3" x14ac:dyDescent="0.25">
      <c r="A1809" s="10"/>
      <c r="B1809" s="10"/>
      <c r="C1809" s="10"/>
    </row>
    <row r="1810" spans="1:3" x14ac:dyDescent="0.25">
      <c r="A1810" s="10"/>
      <c r="B1810" s="10"/>
      <c r="C1810" s="10"/>
    </row>
    <row r="1811" spans="1:3" x14ac:dyDescent="0.25">
      <c r="A1811" s="10"/>
      <c r="B1811" s="10"/>
      <c r="C1811" s="10"/>
    </row>
    <row r="1812" spans="1:3" x14ac:dyDescent="0.25">
      <c r="A1812" s="10"/>
      <c r="B1812" s="10"/>
      <c r="C1812" s="10"/>
    </row>
    <row r="1813" spans="1:3" x14ac:dyDescent="0.25">
      <c r="A1813" s="10"/>
      <c r="B1813" s="10"/>
      <c r="C1813" s="10"/>
    </row>
    <row r="1814" spans="1:3" x14ac:dyDescent="0.25">
      <c r="A1814" s="10"/>
      <c r="B1814" s="10"/>
      <c r="C1814" s="10"/>
    </row>
    <row r="1815" spans="1:3" x14ac:dyDescent="0.25">
      <c r="A1815" s="10"/>
      <c r="B1815" s="10"/>
      <c r="C1815" s="10"/>
    </row>
    <row r="1816" spans="1:3" x14ac:dyDescent="0.25">
      <c r="A1816" s="10"/>
      <c r="B1816" s="10"/>
      <c r="C1816" s="10"/>
    </row>
    <row r="1817" spans="1:3" x14ac:dyDescent="0.25">
      <c r="A1817" s="10"/>
      <c r="B1817" s="10"/>
      <c r="C1817" s="10"/>
    </row>
    <row r="1818" spans="1:3" x14ac:dyDescent="0.25">
      <c r="A1818" s="10"/>
      <c r="B1818" s="10"/>
      <c r="C1818" s="10"/>
    </row>
    <row r="1819" spans="1:3" x14ac:dyDescent="0.25">
      <c r="A1819" s="10"/>
      <c r="B1819" s="10"/>
      <c r="C1819" s="10"/>
    </row>
    <row r="1820" spans="1:3" x14ac:dyDescent="0.25">
      <c r="A1820" s="10"/>
      <c r="B1820" s="10"/>
      <c r="C1820" s="10"/>
    </row>
    <row r="1821" spans="1:3" x14ac:dyDescent="0.25">
      <c r="A1821" s="10"/>
      <c r="B1821" s="10"/>
      <c r="C1821" s="10"/>
    </row>
    <row r="1822" spans="1:3" x14ac:dyDescent="0.25">
      <c r="A1822" s="10"/>
      <c r="B1822" s="10"/>
      <c r="C1822" s="10"/>
    </row>
    <row r="1823" spans="1:3" x14ac:dyDescent="0.25">
      <c r="A1823" s="10"/>
      <c r="B1823" s="10"/>
      <c r="C1823" s="10"/>
    </row>
    <row r="1824" spans="1:3" x14ac:dyDescent="0.25">
      <c r="A1824" s="10"/>
      <c r="B1824" s="10"/>
      <c r="C1824" s="10"/>
    </row>
    <row r="1825" spans="1:3" x14ac:dyDescent="0.25">
      <c r="A1825" s="10"/>
      <c r="B1825" s="10"/>
      <c r="C1825" s="10"/>
    </row>
    <row r="1826" spans="1:3" x14ac:dyDescent="0.25">
      <c r="A1826" s="10"/>
      <c r="B1826" s="10"/>
      <c r="C1826" s="10"/>
    </row>
    <row r="1827" spans="1:3" x14ac:dyDescent="0.25">
      <c r="A1827" s="10"/>
      <c r="B1827" s="10"/>
      <c r="C1827" s="10"/>
    </row>
    <row r="1828" spans="1:3" x14ac:dyDescent="0.25">
      <c r="A1828" s="10"/>
      <c r="B1828" s="10"/>
      <c r="C1828" s="10"/>
    </row>
    <row r="1829" spans="1:3" x14ac:dyDescent="0.25">
      <c r="A1829" s="10"/>
      <c r="B1829" s="10"/>
      <c r="C1829" s="10"/>
    </row>
    <row r="1830" spans="1:3" x14ac:dyDescent="0.25">
      <c r="A1830" s="10"/>
      <c r="B1830" s="10"/>
      <c r="C1830" s="10"/>
    </row>
    <row r="1831" spans="1:3" x14ac:dyDescent="0.25">
      <c r="A1831" s="10"/>
      <c r="B1831" s="10"/>
      <c r="C1831" s="10"/>
    </row>
    <row r="1832" spans="1:3" x14ac:dyDescent="0.25">
      <c r="A1832" s="10"/>
      <c r="B1832" s="10"/>
      <c r="C1832" s="10"/>
    </row>
    <row r="1833" spans="1:3" x14ac:dyDescent="0.25">
      <c r="A1833" s="10"/>
      <c r="B1833" s="10"/>
      <c r="C1833" s="10"/>
    </row>
    <row r="1834" spans="1:3" x14ac:dyDescent="0.25">
      <c r="A1834" s="10"/>
      <c r="B1834" s="10"/>
      <c r="C1834" s="10"/>
    </row>
    <row r="1835" spans="1:3" x14ac:dyDescent="0.25">
      <c r="A1835" s="10"/>
      <c r="B1835" s="10"/>
      <c r="C1835" s="10"/>
    </row>
    <row r="1836" spans="1:3" x14ac:dyDescent="0.25">
      <c r="A1836" s="10"/>
      <c r="B1836" s="10"/>
      <c r="C1836" s="10"/>
    </row>
    <row r="1837" spans="1:3" x14ac:dyDescent="0.25">
      <c r="A1837" s="10"/>
      <c r="B1837" s="10"/>
      <c r="C1837" s="10"/>
    </row>
    <row r="1838" spans="1:3" x14ac:dyDescent="0.25">
      <c r="A1838" s="10"/>
      <c r="B1838" s="10"/>
      <c r="C1838" s="10"/>
    </row>
    <row r="1839" spans="1:3" x14ac:dyDescent="0.25">
      <c r="A1839" s="10"/>
      <c r="B1839" s="10"/>
      <c r="C1839" s="10"/>
    </row>
    <row r="1840" spans="1:3" x14ac:dyDescent="0.25">
      <c r="A1840" s="10"/>
      <c r="B1840" s="10"/>
      <c r="C1840" s="10"/>
    </row>
    <row r="1841" spans="1:3" x14ac:dyDescent="0.25">
      <c r="A1841" s="10"/>
      <c r="B1841" s="10"/>
      <c r="C1841" s="10"/>
    </row>
    <row r="1842" spans="1:3" x14ac:dyDescent="0.25">
      <c r="A1842" s="10"/>
      <c r="B1842" s="10"/>
      <c r="C1842" s="10"/>
    </row>
    <row r="1843" spans="1:3" x14ac:dyDescent="0.25">
      <c r="A1843" s="10"/>
      <c r="B1843" s="10"/>
      <c r="C1843" s="10"/>
    </row>
    <row r="1844" spans="1:3" x14ac:dyDescent="0.25">
      <c r="A1844" s="10"/>
      <c r="B1844" s="10"/>
      <c r="C1844" s="10"/>
    </row>
    <row r="1845" spans="1:3" x14ac:dyDescent="0.25">
      <c r="A1845" s="10"/>
      <c r="B1845" s="10"/>
      <c r="C1845" s="10"/>
    </row>
    <row r="1846" spans="1:3" x14ac:dyDescent="0.25">
      <c r="A1846" s="10"/>
      <c r="B1846" s="10"/>
      <c r="C1846" s="10"/>
    </row>
    <row r="1847" spans="1:3" x14ac:dyDescent="0.25">
      <c r="A1847" s="10"/>
      <c r="B1847" s="10"/>
      <c r="C1847" s="10"/>
    </row>
    <row r="1848" spans="1:3" x14ac:dyDescent="0.25">
      <c r="A1848" s="10"/>
      <c r="B1848" s="10"/>
      <c r="C1848" s="10"/>
    </row>
    <row r="1849" spans="1:3" x14ac:dyDescent="0.25">
      <c r="A1849" s="10"/>
      <c r="B1849" s="10"/>
      <c r="C1849" s="10"/>
    </row>
    <row r="1850" spans="1:3" x14ac:dyDescent="0.25">
      <c r="A1850" s="10"/>
      <c r="B1850" s="10"/>
      <c r="C1850" s="10"/>
    </row>
    <row r="1851" spans="1:3" x14ac:dyDescent="0.25">
      <c r="A1851" s="10"/>
      <c r="B1851" s="10"/>
      <c r="C1851" s="10"/>
    </row>
    <row r="1852" spans="1:3" x14ac:dyDescent="0.25">
      <c r="A1852" s="10"/>
      <c r="B1852" s="10"/>
      <c r="C1852" s="10"/>
    </row>
    <row r="1853" spans="1:3" x14ac:dyDescent="0.25">
      <c r="A1853" s="10"/>
      <c r="B1853" s="10"/>
      <c r="C1853" s="10"/>
    </row>
    <row r="1854" spans="1:3" x14ac:dyDescent="0.25">
      <c r="A1854" s="10"/>
      <c r="B1854" s="10"/>
      <c r="C1854" s="10"/>
    </row>
    <row r="1855" spans="1:3" x14ac:dyDescent="0.25">
      <c r="A1855" s="10"/>
      <c r="B1855" s="10"/>
      <c r="C1855" s="10"/>
    </row>
    <row r="1856" spans="1:3" x14ac:dyDescent="0.25">
      <c r="A1856" s="10"/>
      <c r="B1856" s="10"/>
      <c r="C1856" s="10"/>
    </row>
    <row r="1857" spans="1:3" x14ac:dyDescent="0.25">
      <c r="A1857" s="10"/>
      <c r="B1857" s="10"/>
      <c r="C1857" s="10"/>
    </row>
    <row r="1858" spans="1:3" x14ac:dyDescent="0.25">
      <c r="A1858" s="10"/>
      <c r="B1858" s="10"/>
      <c r="C1858" s="10"/>
    </row>
    <row r="1859" spans="1:3" x14ac:dyDescent="0.25">
      <c r="A1859" s="10"/>
      <c r="B1859" s="10"/>
      <c r="C1859" s="10"/>
    </row>
    <row r="1860" spans="1:3" x14ac:dyDescent="0.25">
      <c r="A1860" s="10"/>
      <c r="B1860" s="10"/>
      <c r="C1860" s="10"/>
    </row>
    <row r="1861" spans="1:3" x14ac:dyDescent="0.25">
      <c r="A1861" s="10"/>
      <c r="B1861" s="10"/>
      <c r="C1861" s="10"/>
    </row>
    <row r="1862" spans="1:3" x14ac:dyDescent="0.25">
      <c r="A1862" s="10"/>
      <c r="B1862" s="10"/>
      <c r="C1862" s="10"/>
    </row>
    <row r="1863" spans="1:3" x14ac:dyDescent="0.25">
      <c r="A1863" s="10"/>
      <c r="B1863" s="10"/>
      <c r="C1863" s="10"/>
    </row>
    <row r="1864" spans="1:3" x14ac:dyDescent="0.25">
      <c r="A1864" s="10"/>
      <c r="B1864" s="10"/>
      <c r="C1864" s="10"/>
    </row>
    <row r="1865" spans="1:3" x14ac:dyDescent="0.25">
      <c r="A1865" s="10"/>
      <c r="B1865" s="10"/>
      <c r="C1865" s="10"/>
    </row>
    <row r="1866" spans="1:3" x14ac:dyDescent="0.25">
      <c r="A1866" s="10"/>
      <c r="B1866" s="10"/>
      <c r="C1866" s="10"/>
    </row>
    <row r="1867" spans="1:3" x14ac:dyDescent="0.25">
      <c r="A1867" s="10"/>
      <c r="B1867" s="10"/>
      <c r="C1867" s="10"/>
    </row>
    <row r="1868" spans="1:3" x14ac:dyDescent="0.25">
      <c r="A1868" s="10"/>
      <c r="B1868" s="10"/>
      <c r="C1868" s="10"/>
    </row>
    <row r="1869" spans="1:3" x14ac:dyDescent="0.25">
      <c r="A1869" s="10"/>
      <c r="B1869" s="10"/>
      <c r="C1869" s="10"/>
    </row>
    <row r="1870" spans="1:3" x14ac:dyDescent="0.25">
      <c r="A1870" s="10"/>
      <c r="B1870" s="10"/>
      <c r="C1870" s="10"/>
    </row>
    <row r="1871" spans="1:3" x14ac:dyDescent="0.25">
      <c r="A1871" s="10"/>
      <c r="B1871" s="10"/>
      <c r="C1871" s="10"/>
    </row>
    <row r="1872" spans="1:3" x14ac:dyDescent="0.25">
      <c r="A1872" s="10"/>
      <c r="B1872" s="10"/>
      <c r="C1872" s="10"/>
    </row>
    <row r="1873" spans="1:3" x14ac:dyDescent="0.25">
      <c r="A1873" s="10"/>
      <c r="B1873" s="10"/>
      <c r="C1873" s="10"/>
    </row>
    <row r="1874" spans="1:3" x14ac:dyDescent="0.25">
      <c r="A1874" s="10"/>
      <c r="B1874" s="10"/>
      <c r="C1874" s="10"/>
    </row>
    <row r="1875" spans="1:3" x14ac:dyDescent="0.25">
      <c r="A1875" s="10"/>
      <c r="B1875" s="10"/>
      <c r="C1875" s="10"/>
    </row>
    <row r="1876" spans="1:3" x14ac:dyDescent="0.25">
      <c r="A1876" s="10"/>
      <c r="B1876" s="10"/>
      <c r="C1876" s="10"/>
    </row>
    <row r="1877" spans="1:3" x14ac:dyDescent="0.25">
      <c r="A1877" s="10"/>
      <c r="B1877" s="10"/>
      <c r="C1877" s="10"/>
    </row>
    <row r="1878" spans="1:3" x14ac:dyDescent="0.25">
      <c r="A1878" s="10"/>
      <c r="B1878" s="10"/>
      <c r="C1878" s="10"/>
    </row>
    <row r="1879" spans="1:3" x14ac:dyDescent="0.25">
      <c r="A1879" s="10"/>
      <c r="B1879" s="10"/>
      <c r="C1879" s="10"/>
    </row>
    <row r="1880" spans="1:3" x14ac:dyDescent="0.25">
      <c r="A1880" s="10"/>
      <c r="B1880" s="10"/>
      <c r="C1880" s="10"/>
    </row>
    <row r="1881" spans="1:3" x14ac:dyDescent="0.25">
      <c r="A1881" s="10"/>
      <c r="B1881" s="10"/>
      <c r="C1881" s="10"/>
    </row>
    <row r="1882" spans="1:3" x14ac:dyDescent="0.25">
      <c r="A1882" s="10"/>
      <c r="B1882" s="10"/>
      <c r="C1882" s="10"/>
    </row>
    <row r="1883" spans="1:3" x14ac:dyDescent="0.25">
      <c r="A1883" s="10"/>
      <c r="B1883" s="10"/>
      <c r="C1883" s="10"/>
    </row>
    <row r="1884" spans="1:3" x14ac:dyDescent="0.25">
      <c r="A1884" s="10"/>
      <c r="B1884" s="10"/>
      <c r="C1884" s="10"/>
    </row>
    <row r="1885" spans="1:3" x14ac:dyDescent="0.25">
      <c r="A1885" s="10"/>
      <c r="B1885" s="10"/>
      <c r="C1885" s="10"/>
    </row>
    <row r="1886" spans="1:3" x14ac:dyDescent="0.25">
      <c r="A1886" s="10"/>
      <c r="B1886" s="10"/>
      <c r="C1886" s="10"/>
    </row>
    <row r="1887" spans="1:3" x14ac:dyDescent="0.25">
      <c r="A1887" s="10"/>
      <c r="B1887" s="10"/>
      <c r="C1887" s="10"/>
    </row>
    <row r="1888" spans="1:3" x14ac:dyDescent="0.25">
      <c r="A1888" s="10"/>
      <c r="B1888" s="10"/>
      <c r="C1888" s="10"/>
    </row>
    <row r="1889" spans="1:3" x14ac:dyDescent="0.25">
      <c r="A1889" s="10"/>
      <c r="B1889" s="10"/>
      <c r="C1889" s="10"/>
    </row>
    <row r="1890" spans="1:3" x14ac:dyDescent="0.25">
      <c r="A1890" s="10"/>
      <c r="B1890" s="10"/>
      <c r="C1890" s="10"/>
    </row>
    <row r="1891" spans="1:3" x14ac:dyDescent="0.25">
      <c r="A1891" s="10"/>
      <c r="B1891" s="10"/>
      <c r="C1891" s="10"/>
    </row>
    <row r="1892" spans="1:3" x14ac:dyDescent="0.25">
      <c r="A1892" s="10"/>
      <c r="B1892" s="10"/>
      <c r="C1892" s="10"/>
    </row>
    <row r="1893" spans="1:3" x14ac:dyDescent="0.25">
      <c r="A1893" s="10"/>
      <c r="B1893" s="10"/>
      <c r="C1893" s="10"/>
    </row>
    <row r="1894" spans="1:3" x14ac:dyDescent="0.25">
      <c r="A1894" s="10"/>
      <c r="B1894" s="10"/>
      <c r="C1894" s="10"/>
    </row>
    <row r="1895" spans="1:3" x14ac:dyDescent="0.25">
      <c r="A1895" s="10"/>
      <c r="B1895" s="10"/>
      <c r="C1895" s="10"/>
    </row>
    <row r="1896" spans="1:3" x14ac:dyDescent="0.25">
      <c r="A1896" s="10"/>
      <c r="B1896" s="10"/>
      <c r="C1896" s="10"/>
    </row>
    <row r="1897" spans="1:3" x14ac:dyDescent="0.25">
      <c r="A1897" s="10"/>
      <c r="B1897" s="10"/>
      <c r="C1897" s="10"/>
    </row>
    <row r="1898" spans="1:3" x14ac:dyDescent="0.25">
      <c r="A1898" s="10"/>
      <c r="B1898" s="10"/>
      <c r="C1898" s="10"/>
    </row>
    <row r="1899" spans="1:3" x14ac:dyDescent="0.25">
      <c r="A1899" s="10"/>
      <c r="B1899" s="10"/>
      <c r="C1899" s="10"/>
    </row>
    <row r="1900" spans="1:3" x14ac:dyDescent="0.25">
      <c r="A1900" s="10"/>
      <c r="B1900" s="10"/>
      <c r="C1900" s="10"/>
    </row>
    <row r="1901" spans="1:3" x14ac:dyDescent="0.25">
      <c r="A1901" s="10"/>
      <c r="B1901" s="10"/>
      <c r="C1901" s="10"/>
    </row>
    <row r="1902" spans="1:3" x14ac:dyDescent="0.25">
      <c r="A1902" s="10"/>
      <c r="B1902" s="10"/>
      <c r="C1902" s="10"/>
    </row>
    <row r="1903" spans="1:3" x14ac:dyDescent="0.25">
      <c r="A1903" s="10"/>
      <c r="B1903" s="10"/>
      <c r="C1903" s="10"/>
    </row>
    <row r="1904" spans="1:3" x14ac:dyDescent="0.25">
      <c r="A1904" s="10"/>
      <c r="B1904" s="10"/>
      <c r="C1904" s="10"/>
    </row>
    <row r="1905" spans="1:3" x14ac:dyDescent="0.25">
      <c r="A1905" s="10"/>
      <c r="B1905" s="10"/>
      <c r="C1905" s="10"/>
    </row>
    <row r="1906" spans="1:3" x14ac:dyDescent="0.25">
      <c r="A1906" s="10"/>
      <c r="B1906" s="10"/>
      <c r="C1906" s="10"/>
    </row>
    <row r="1907" spans="1:3" x14ac:dyDescent="0.25">
      <c r="A1907" s="10"/>
      <c r="B1907" s="10"/>
      <c r="C1907" s="10"/>
    </row>
    <row r="1908" spans="1:3" x14ac:dyDescent="0.25">
      <c r="A1908" s="10"/>
      <c r="B1908" s="10"/>
      <c r="C1908" s="10"/>
    </row>
    <row r="1909" spans="1:3" x14ac:dyDescent="0.25">
      <c r="A1909" s="10"/>
      <c r="B1909" s="10"/>
      <c r="C1909" s="10"/>
    </row>
    <row r="1910" spans="1:3" x14ac:dyDescent="0.25">
      <c r="A1910" s="10"/>
      <c r="B1910" s="10"/>
      <c r="C1910" s="10"/>
    </row>
    <row r="1911" spans="1:3" x14ac:dyDescent="0.25">
      <c r="A1911" s="10"/>
      <c r="B1911" s="10"/>
      <c r="C1911" s="10"/>
    </row>
    <row r="1912" spans="1:3" x14ac:dyDescent="0.25">
      <c r="A1912" s="10"/>
      <c r="B1912" s="10"/>
      <c r="C1912" s="10"/>
    </row>
    <row r="1913" spans="1:3" x14ac:dyDescent="0.25">
      <c r="A1913" s="10"/>
      <c r="B1913" s="10"/>
      <c r="C1913" s="10"/>
    </row>
    <row r="1914" spans="1:3" x14ac:dyDescent="0.25">
      <c r="A1914" s="10"/>
      <c r="B1914" s="10"/>
      <c r="C1914" s="10"/>
    </row>
    <row r="1915" spans="1:3" x14ac:dyDescent="0.25">
      <c r="A1915" s="10"/>
      <c r="B1915" s="10"/>
      <c r="C1915" s="10"/>
    </row>
    <row r="1916" spans="1:3" x14ac:dyDescent="0.25">
      <c r="A1916" s="10"/>
      <c r="B1916" s="10"/>
      <c r="C1916" s="10"/>
    </row>
    <row r="1917" spans="1:3" x14ac:dyDescent="0.25">
      <c r="A1917" s="10"/>
      <c r="B1917" s="10"/>
      <c r="C1917" s="10"/>
    </row>
    <row r="1918" spans="1:3" x14ac:dyDescent="0.25">
      <c r="A1918" s="10"/>
      <c r="B1918" s="10"/>
      <c r="C1918" s="10"/>
    </row>
    <row r="1919" spans="1:3" x14ac:dyDescent="0.25">
      <c r="A1919" s="10"/>
      <c r="B1919" s="10"/>
      <c r="C1919" s="10"/>
    </row>
    <row r="1920" spans="1:3" x14ac:dyDescent="0.25">
      <c r="A1920" s="10"/>
      <c r="B1920" s="10"/>
      <c r="C1920" s="10"/>
    </row>
    <row r="1921" spans="1:3" x14ac:dyDescent="0.25">
      <c r="A1921" s="10"/>
      <c r="B1921" s="10"/>
      <c r="C1921" s="10"/>
    </row>
    <row r="1922" spans="1:3" x14ac:dyDescent="0.25">
      <c r="A1922" s="10"/>
      <c r="B1922" s="10"/>
      <c r="C1922" s="10"/>
    </row>
    <row r="1923" spans="1:3" x14ac:dyDescent="0.25">
      <c r="A1923" s="10"/>
      <c r="B1923" s="10"/>
      <c r="C1923" s="10"/>
    </row>
    <row r="1924" spans="1:3" x14ac:dyDescent="0.25">
      <c r="A1924" s="10"/>
      <c r="B1924" s="10"/>
      <c r="C1924" s="10"/>
    </row>
    <row r="1925" spans="1:3" x14ac:dyDescent="0.25">
      <c r="A1925" s="10"/>
      <c r="B1925" s="10"/>
      <c r="C1925" s="10"/>
    </row>
    <row r="1926" spans="1:3" x14ac:dyDescent="0.25">
      <c r="A1926" s="10"/>
      <c r="B1926" s="10"/>
      <c r="C1926" s="10"/>
    </row>
    <row r="1927" spans="1:3" x14ac:dyDescent="0.25">
      <c r="A1927" s="10"/>
      <c r="B1927" s="10"/>
      <c r="C1927" s="10"/>
    </row>
    <row r="1928" spans="1:3" x14ac:dyDescent="0.25">
      <c r="A1928" s="10"/>
      <c r="B1928" s="10"/>
      <c r="C1928" s="10"/>
    </row>
    <row r="1929" spans="1:3" x14ac:dyDescent="0.25">
      <c r="A1929" s="10"/>
      <c r="B1929" s="10"/>
      <c r="C1929" s="10"/>
    </row>
    <row r="1930" spans="1:3" x14ac:dyDescent="0.25">
      <c r="A1930" s="10"/>
      <c r="B1930" s="10"/>
      <c r="C1930" s="10"/>
    </row>
    <row r="1931" spans="1:3" x14ac:dyDescent="0.25">
      <c r="A1931" s="10"/>
      <c r="B1931" s="10"/>
      <c r="C1931" s="10"/>
    </row>
    <row r="1932" spans="1:3" x14ac:dyDescent="0.25">
      <c r="A1932" s="10"/>
      <c r="B1932" s="10"/>
      <c r="C1932" s="10"/>
    </row>
    <row r="1933" spans="1:3" x14ac:dyDescent="0.25">
      <c r="A1933" s="10"/>
      <c r="B1933" s="10"/>
      <c r="C1933" s="10"/>
    </row>
    <row r="1934" spans="1:3" x14ac:dyDescent="0.25">
      <c r="A1934" s="10"/>
      <c r="B1934" s="10"/>
      <c r="C1934" s="10"/>
    </row>
    <row r="1935" spans="1:3" x14ac:dyDescent="0.25">
      <c r="A1935" s="10"/>
      <c r="B1935" s="10"/>
      <c r="C1935" s="10"/>
    </row>
    <row r="1936" spans="1:3" x14ac:dyDescent="0.25">
      <c r="A1936" s="10"/>
      <c r="B1936" s="10"/>
      <c r="C1936" s="10"/>
    </row>
    <row r="1937" spans="1:3" x14ac:dyDescent="0.25">
      <c r="A1937" s="10"/>
      <c r="B1937" s="10"/>
      <c r="C1937" s="10"/>
    </row>
    <row r="1938" spans="1:3" x14ac:dyDescent="0.25">
      <c r="A1938" s="10"/>
      <c r="B1938" s="10"/>
      <c r="C1938" s="10"/>
    </row>
    <row r="1939" spans="1:3" x14ac:dyDescent="0.25">
      <c r="A1939" s="10"/>
      <c r="B1939" s="10"/>
      <c r="C1939" s="10"/>
    </row>
    <row r="1940" spans="1:3" x14ac:dyDescent="0.25">
      <c r="A1940" s="10"/>
      <c r="B1940" s="10"/>
      <c r="C1940" s="10"/>
    </row>
    <row r="1941" spans="1:3" x14ac:dyDescent="0.25">
      <c r="A1941" s="10"/>
      <c r="B1941" s="10"/>
      <c r="C1941" s="10"/>
    </row>
    <row r="1942" spans="1:3" x14ac:dyDescent="0.25">
      <c r="A1942" s="10"/>
      <c r="B1942" s="10"/>
      <c r="C1942" s="10"/>
    </row>
    <row r="1943" spans="1:3" x14ac:dyDescent="0.25">
      <c r="A1943" s="10"/>
      <c r="B1943" s="10"/>
      <c r="C1943" s="10"/>
    </row>
    <row r="1944" spans="1:3" x14ac:dyDescent="0.25">
      <c r="A1944" s="10"/>
      <c r="B1944" s="10"/>
      <c r="C1944" s="10"/>
    </row>
    <row r="1945" spans="1:3" x14ac:dyDescent="0.25">
      <c r="A1945" s="10"/>
      <c r="B1945" s="10"/>
      <c r="C1945" s="10"/>
    </row>
    <row r="1946" spans="1:3" x14ac:dyDescent="0.25">
      <c r="A1946" s="10"/>
      <c r="B1946" s="10"/>
      <c r="C1946" s="10"/>
    </row>
    <row r="1947" spans="1:3" x14ac:dyDescent="0.25">
      <c r="A1947" s="10"/>
      <c r="B1947" s="10"/>
      <c r="C1947" s="10"/>
    </row>
    <row r="1948" spans="1:3" x14ac:dyDescent="0.25">
      <c r="A1948" s="10"/>
      <c r="B1948" s="10"/>
      <c r="C1948" s="10"/>
    </row>
    <row r="1949" spans="1:3" x14ac:dyDescent="0.25">
      <c r="A1949" s="10"/>
      <c r="B1949" s="10"/>
      <c r="C1949" s="10"/>
    </row>
    <row r="1950" spans="1:3" x14ac:dyDescent="0.25">
      <c r="A1950" s="10"/>
      <c r="B1950" s="10"/>
      <c r="C1950" s="10"/>
    </row>
    <row r="1951" spans="1:3" x14ac:dyDescent="0.25">
      <c r="A1951" s="10"/>
      <c r="B1951" s="10"/>
      <c r="C1951" s="10"/>
    </row>
    <row r="1952" spans="1:3" x14ac:dyDescent="0.25">
      <c r="A1952" s="10"/>
      <c r="B1952" s="10"/>
      <c r="C1952" s="10"/>
    </row>
    <row r="1953" spans="1:3" x14ac:dyDescent="0.25">
      <c r="A1953" s="10"/>
      <c r="B1953" s="10"/>
      <c r="C1953" s="10"/>
    </row>
    <row r="1954" spans="1:3" x14ac:dyDescent="0.25">
      <c r="A1954" s="10"/>
      <c r="B1954" s="10"/>
      <c r="C1954" s="10"/>
    </row>
    <row r="1955" spans="1:3" x14ac:dyDescent="0.25">
      <c r="A1955" s="10"/>
      <c r="B1955" s="10"/>
      <c r="C1955" s="10"/>
    </row>
    <row r="1956" spans="1:3" x14ac:dyDescent="0.25">
      <c r="A1956" s="10"/>
      <c r="B1956" s="10"/>
      <c r="C1956" s="10"/>
    </row>
    <row r="1957" spans="1:3" x14ac:dyDescent="0.25">
      <c r="A1957" s="10"/>
      <c r="B1957" s="10"/>
      <c r="C1957" s="10"/>
    </row>
    <row r="1958" spans="1:3" x14ac:dyDescent="0.25">
      <c r="A1958" s="10"/>
      <c r="B1958" s="10"/>
      <c r="C1958" s="10"/>
    </row>
    <row r="1959" spans="1:3" x14ac:dyDescent="0.25">
      <c r="A1959" s="10"/>
      <c r="B1959" s="10"/>
      <c r="C1959" s="10"/>
    </row>
    <row r="1960" spans="1:3" x14ac:dyDescent="0.25">
      <c r="A1960" s="10"/>
      <c r="B1960" s="10"/>
      <c r="C1960" s="10"/>
    </row>
    <row r="1961" spans="1:3" x14ac:dyDescent="0.25">
      <c r="A1961" s="10"/>
      <c r="B1961" s="10"/>
      <c r="C1961" s="10"/>
    </row>
    <row r="1962" spans="1:3" x14ac:dyDescent="0.25">
      <c r="A1962" s="10"/>
      <c r="B1962" s="10"/>
      <c r="C1962" s="10"/>
    </row>
    <row r="1963" spans="1:3" x14ac:dyDescent="0.25">
      <c r="A1963" s="10"/>
      <c r="B1963" s="10"/>
      <c r="C1963" s="10"/>
    </row>
    <row r="1964" spans="1:3" x14ac:dyDescent="0.25">
      <c r="A1964" s="10"/>
      <c r="B1964" s="10"/>
      <c r="C1964" s="10"/>
    </row>
    <row r="1965" spans="1:3" x14ac:dyDescent="0.25">
      <c r="A1965" s="10"/>
      <c r="B1965" s="10"/>
      <c r="C1965" s="10"/>
    </row>
    <row r="1966" spans="1:3" x14ac:dyDescent="0.25">
      <c r="A1966" s="10"/>
      <c r="B1966" s="10"/>
      <c r="C1966" s="10"/>
    </row>
    <row r="1967" spans="1:3" x14ac:dyDescent="0.25">
      <c r="A1967" s="10"/>
      <c r="B1967" s="10"/>
      <c r="C1967" s="10"/>
    </row>
    <row r="1968" spans="1:3" x14ac:dyDescent="0.25">
      <c r="A1968" s="10"/>
      <c r="B1968" s="10"/>
      <c r="C1968" s="10"/>
    </row>
    <row r="1969" spans="1:3" x14ac:dyDescent="0.25">
      <c r="A1969" s="10"/>
      <c r="B1969" s="10"/>
      <c r="C1969" s="10"/>
    </row>
    <row r="1970" spans="1:3" x14ac:dyDescent="0.25">
      <c r="A1970" s="10"/>
      <c r="B1970" s="10"/>
      <c r="C1970" s="10"/>
    </row>
    <row r="1971" spans="1:3" x14ac:dyDescent="0.25">
      <c r="A1971" s="10"/>
      <c r="B1971" s="10"/>
      <c r="C1971" s="10"/>
    </row>
    <row r="1972" spans="1:3" x14ac:dyDescent="0.25">
      <c r="A1972" s="10"/>
      <c r="B1972" s="10"/>
      <c r="C1972" s="10"/>
    </row>
    <row r="1973" spans="1:3" x14ac:dyDescent="0.25">
      <c r="A1973" s="10"/>
      <c r="B1973" s="10"/>
      <c r="C1973" s="10"/>
    </row>
    <row r="1974" spans="1:3" x14ac:dyDescent="0.25">
      <c r="A1974" s="10"/>
      <c r="B1974" s="10"/>
      <c r="C1974" s="10"/>
    </row>
    <row r="1975" spans="1:3" x14ac:dyDescent="0.25">
      <c r="A1975" s="10"/>
      <c r="B1975" s="10"/>
      <c r="C1975" s="10"/>
    </row>
    <row r="1976" spans="1:3" x14ac:dyDescent="0.25">
      <c r="A1976" s="10"/>
      <c r="B1976" s="10"/>
      <c r="C1976" s="10"/>
    </row>
    <row r="1977" spans="1:3" x14ac:dyDescent="0.25">
      <c r="A1977" s="10"/>
      <c r="B1977" s="10"/>
      <c r="C1977" s="10"/>
    </row>
    <row r="1978" spans="1:3" x14ac:dyDescent="0.25">
      <c r="A1978" s="10"/>
      <c r="B1978" s="10"/>
      <c r="C1978" s="10"/>
    </row>
    <row r="1979" spans="1:3" x14ac:dyDescent="0.25">
      <c r="A1979" s="10"/>
      <c r="B1979" s="10"/>
      <c r="C1979" s="10"/>
    </row>
    <row r="1980" spans="1:3" x14ac:dyDescent="0.25">
      <c r="A1980" s="10"/>
      <c r="B1980" s="10"/>
      <c r="C1980" s="10"/>
    </row>
    <row r="1981" spans="1:3" x14ac:dyDescent="0.25">
      <c r="A1981" s="10"/>
      <c r="B1981" s="10"/>
      <c r="C1981" s="10"/>
    </row>
    <row r="1982" spans="1:3" x14ac:dyDescent="0.25">
      <c r="A1982" s="10"/>
      <c r="B1982" s="10"/>
      <c r="C1982" s="10"/>
    </row>
    <row r="1983" spans="1:3" x14ac:dyDescent="0.25">
      <c r="A1983" s="10"/>
      <c r="B1983" s="10"/>
      <c r="C1983" s="10"/>
    </row>
    <row r="1984" spans="1:3" x14ac:dyDescent="0.25">
      <c r="A1984" s="10"/>
      <c r="B1984" s="10"/>
      <c r="C1984" s="10"/>
    </row>
    <row r="1985" spans="1:3" x14ac:dyDescent="0.25">
      <c r="A1985" s="10"/>
      <c r="B1985" s="10"/>
      <c r="C1985" s="10"/>
    </row>
    <row r="1986" spans="1:3" x14ac:dyDescent="0.25">
      <c r="A1986" s="10"/>
      <c r="B1986" s="10"/>
      <c r="C1986" s="10"/>
    </row>
    <row r="1987" spans="1:3" x14ac:dyDescent="0.25">
      <c r="A1987" s="10"/>
      <c r="B1987" s="10"/>
      <c r="C1987" s="10"/>
    </row>
    <row r="1988" spans="1:3" x14ac:dyDescent="0.25">
      <c r="A1988" s="10"/>
      <c r="B1988" s="10"/>
      <c r="C1988" s="10"/>
    </row>
    <row r="1989" spans="1:3" x14ac:dyDescent="0.25">
      <c r="A1989" s="10"/>
      <c r="B1989" s="10"/>
      <c r="C1989" s="10"/>
    </row>
    <row r="1990" spans="1:3" x14ac:dyDescent="0.25">
      <c r="A1990" s="10"/>
      <c r="B1990" s="10"/>
      <c r="C1990" s="10"/>
    </row>
    <row r="1991" spans="1:3" x14ac:dyDescent="0.25">
      <c r="A1991" s="10"/>
      <c r="B1991" s="10"/>
      <c r="C1991" s="10"/>
    </row>
    <row r="1992" spans="1:3" x14ac:dyDescent="0.25">
      <c r="A1992" s="10"/>
      <c r="B1992" s="10"/>
      <c r="C1992" s="10"/>
    </row>
    <row r="1993" spans="1:3" x14ac:dyDescent="0.25">
      <c r="A1993" s="10"/>
      <c r="B1993" s="10"/>
      <c r="C1993" s="10"/>
    </row>
    <row r="1994" spans="1:3" x14ac:dyDescent="0.25">
      <c r="A1994" s="10"/>
      <c r="B1994" s="10"/>
      <c r="C1994" s="10"/>
    </row>
    <row r="1995" spans="1:3" x14ac:dyDescent="0.25">
      <c r="A1995" s="10"/>
      <c r="B1995" s="10"/>
      <c r="C1995" s="10"/>
    </row>
    <row r="1996" spans="1:3" x14ac:dyDescent="0.25">
      <c r="A1996" s="10"/>
      <c r="B1996" s="10"/>
      <c r="C1996" s="10"/>
    </row>
    <row r="1997" spans="1:3" x14ac:dyDescent="0.25">
      <c r="A1997" s="10"/>
      <c r="B1997" s="10"/>
      <c r="C1997" s="10"/>
    </row>
    <row r="1998" spans="1:3" x14ac:dyDescent="0.25">
      <c r="A1998" s="10"/>
      <c r="B1998" s="10"/>
      <c r="C1998" s="10"/>
    </row>
    <row r="1999" spans="1:3" x14ac:dyDescent="0.25">
      <c r="A1999" s="10"/>
      <c r="B1999" s="10"/>
      <c r="C1999" s="10"/>
    </row>
    <row r="2000" spans="1:3" x14ac:dyDescent="0.25">
      <c r="A2000" s="10"/>
      <c r="B2000" s="10"/>
      <c r="C2000" s="10"/>
    </row>
    <row r="2001" spans="1:3" x14ac:dyDescent="0.25">
      <c r="A2001" s="10"/>
      <c r="B2001" s="10"/>
      <c r="C2001" s="10"/>
    </row>
    <row r="2002" spans="1:3" x14ac:dyDescent="0.25">
      <c r="A2002" s="10"/>
      <c r="B2002" s="10"/>
      <c r="C2002" s="10"/>
    </row>
    <row r="2003" spans="1:3" x14ac:dyDescent="0.25">
      <c r="A2003" s="10"/>
      <c r="B2003" s="10"/>
      <c r="C2003" s="10"/>
    </row>
    <row r="2004" spans="1:3" x14ac:dyDescent="0.25">
      <c r="A2004" s="10"/>
      <c r="B2004" s="10"/>
      <c r="C2004" s="10"/>
    </row>
    <row r="2005" spans="1:3" x14ac:dyDescent="0.25">
      <c r="A2005" s="10"/>
      <c r="B2005" s="10"/>
      <c r="C2005" s="10"/>
    </row>
    <row r="2006" spans="1:3" x14ac:dyDescent="0.25">
      <c r="A2006" s="10"/>
      <c r="B2006" s="10"/>
      <c r="C2006" s="10"/>
    </row>
    <row r="2007" spans="1:3" x14ac:dyDescent="0.25">
      <c r="A2007" s="10"/>
      <c r="B2007" s="10"/>
      <c r="C2007" s="10"/>
    </row>
    <row r="2008" spans="1:3" x14ac:dyDescent="0.25">
      <c r="A2008" s="10"/>
      <c r="B2008" s="10"/>
      <c r="C2008" s="10"/>
    </row>
    <row r="2009" spans="1:3" x14ac:dyDescent="0.25">
      <c r="A2009" s="10"/>
      <c r="B2009" s="10"/>
      <c r="C2009" s="10"/>
    </row>
    <row r="2010" spans="1:3" x14ac:dyDescent="0.25">
      <c r="A2010" s="10"/>
      <c r="B2010" s="10"/>
      <c r="C2010" s="10"/>
    </row>
    <row r="2011" spans="1:3" x14ac:dyDescent="0.25">
      <c r="A2011" s="10"/>
      <c r="B2011" s="10"/>
      <c r="C2011" s="10"/>
    </row>
    <row r="2012" spans="1:3" x14ac:dyDescent="0.25">
      <c r="A2012" s="10"/>
      <c r="B2012" s="10"/>
      <c r="C2012" s="10"/>
    </row>
    <row r="2013" spans="1:3" x14ac:dyDescent="0.25">
      <c r="A2013" s="10"/>
      <c r="B2013" s="10"/>
      <c r="C2013" s="10"/>
    </row>
    <row r="2014" spans="1:3" x14ac:dyDescent="0.25">
      <c r="A2014" s="10"/>
      <c r="B2014" s="10"/>
      <c r="C2014" s="10"/>
    </row>
    <row r="2015" spans="1:3" x14ac:dyDescent="0.25">
      <c r="A2015" s="10"/>
      <c r="B2015" s="10"/>
      <c r="C2015" s="10"/>
    </row>
    <row r="2016" spans="1:3" x14ac:dyDescent="0.25">
      <c r="A2016" s="10"/>
      <c r="B2016" s="10"/>
      <c r="C2016" s="10"/>
    </row>
    <row r="2017" spans="1:3" x14ac:dyDescent="0.25">
      <c r="A2017" s="10"/>
      <c r="B2017" s="10"/>
      <c r="C2017" s="10"/>
    </row>
    <row r="2018" spans="1:3" x14ac:dyDescent="0.25">
      <c r="A2018" s="10"/>
      <c r="B2018" s="10"/>
      <c r="C2018" s="10"/>
    </row>
    <row r="2019" spans="1:3" x14ac:dyDescent="0.25">
      <c r="A2019" s="10"/>
      <c r="B2019" s="10"/>
      <c r="C2019" s="10"/>
    </row>
    <row r="2020" spans="1:3" x14ac:dyDescent="0.25">
      <c r="A2020" s="10"/>
      <c r="B2020" s="10"/>
      <c r="C2020" s="10"/>
    </row>
    <row r="2021" spans="1:3" x14ac:dyDescent="0.25">
      <c r="A2021" s="10"/>
      <c r="B2021" s="10"/>
      <c r="C2021" s="10"/>
    </row>
    <row r="2022" spans="1:3" x14ac:dyDescent="0.25">
      <c r="A2022" s="10"/>
      <c r="B2022" s="10"/>
      <c r="C2022" s="10"/>
    </row>
    <row r="2023" spans="1:3" x14ac:dyDescent="0.25">
      <c r="A2023" s="10"/>
      <c r="B2023" s="10"/>
      <c r="C2023" s="10"/>
    </row>
    <row r="2024" spans="1:3" x14ac:dyDescent="0.25">
      <c r="A2024" s="10"/>
      <c r="B2024" s="10"/>
      <c r="C2024" s="10"/>
    </row>
    <row r="2025" spans="1:3" x14ac:dyDescent="0.25">
      <c r="A2025" s="10"/>
      <c r="B2025" s="10"/>
      <c r="C2025" s="10"/>
    </row>
    <row r="2026" spans="1:3" x14ac:dyDescent="0.25">
      <c r="A2026" s="10"/>
      <c r="B2026" s="10"/>
      <c r="C2026" s="10"/>
    </row>
    <row r="2027" spans="1:3" x14ac:dyDescent="0.25">
      <c r="A2027" s="10"/>
      <c r="B2027" s="10"/>
      <c r="C2027" s="10"/>
    </row>
    <row r="2028" spans="1:3" x14ac:dyDescent="0.25">
      <c r="A2028" s="10"/>
      <c r="B2028" s="10"/>
      <c r="C2028" s="10"/>
    </row>
    <row r="2029" spans="1:3" x14ac:dyDescent="0.25">
      <c r="A2029" s="10"/>
      <c r="B2029" s="10"/>
      <c r="C2029" s="10"/>
    </row>
    <row r="2030" spans="1:3" x14ac:dyDescent="0.25">
      <c r="A2030" s="10"/>
      <c r="B2030" s="10"/>
      <c r="C2030" s="10"/>
    </row>
    <row r="2031" spans="1:3" x14ac:dyDescent="0.25">
      <c r="A2031" s="10"/>
      <c r="B2031" s="10"/>
      <c r="C2031" s="10"/>
    </row>
    <row r="2032" spans="1:3" x14ac:dyDescent="0.25">
      <c r="A2032" s="10"/>
      <c r="B2032" s="10"/>
      <c r="C2032" s="10"/>
    </row>
    <row r="2033" spans="1:3" x14ac:dyDescent="0.25">
      <c r="A2033" s="10"/>
      <c r="B2033" s="10"/>
      <c r="C2033" s="10"/>
    </row>
    <row r="2034" spans="1:3" x14ac:dyDescent="0.25">
      <c r="A2034" s="10"/>
      <c r="B2034" s="10"/>
      <c r="C2034" s="10"/>
    </row>
    <row r="2035" spans="1:3" x14ac:dyDescent="0.25">
      <c r="A2035" s="10"/>
      <c r="B2035" s="10"/>
      <c r="C2035" s="10"/>
    </row>
    <row r="2036" spans="1:3" x14ac:dyDescent="0.25">
      <c r="A2036" s="10"/>
      <c r="B2036" s="10"/>
      <c r="C2036" s="10"/>
    </row>
    <row r="2037" spans="1:3" x14ac:dyDescent="0.25">
      <c r="A2037" s="10"/>
      <c r="B2037" s="10"/>
      <c r="C2037" s="10"/>
    </row>
    <row r="2038" spans="1:3" x14ac:dyDescent="0.25">
      <c r="A2038" s="10"/>
      <c r="B2038" s="10"/>
      <c r="C2038" s="10"/>
    </row>
    <row r="2039" spans="1:3" x14ac:dyDescent="0.25">
      <c r="A2039" s="10"/>
      <c r="B2039" s="10"/>
      <c r="C2039" s="10"/>
    </row>
    <row r="2040" spans="1:3" x14ac:dyDescent="0.25">
      <c r="A2040" s="10"/>
      <c r="B2040" s="10"/>
      <c r="C2040" s="10"/>
    </row>
    <row r="2041" spans="1:3" x14ac:dyDescent="0.25">
      <c r="A2041" s="10"/>
      <c r="B2041" s="10"/>
      <c r="C2041" s="10"/>
    </row>
    <row r="2042" spans="1:3" x14ac:dyDescent="0.25">
      <c r="A2042" s="10"/>
      <c r="B2042" s="10"/>
      <c r="C2042" s="10"/>
    </row>
    <row r="2043" spans="1:3" x14ac:dyDescent="0.25">
      <c r="A2043" s="10"/>
      <c r="B2043" s="10"/>
      <c r="C2043" s="10"/>
    </row>
    <row r="2044" spans="1:3" x14ac:dyDescent="0.25">
      <c r="A2044" s="10"/>
      <c r="B2044" s="10"/>
      <c r="C2044" s="10"/>
    </row>
    <row r="2045" spans="1:3" x14ac:dyDescent="0.25">
      <c r="A2045" s="10"/>
      <c r="B2045" s="10"/>
      <c r="C2045" s="10"/>
    </row>
    <row r="2046" spans="1:3" x14ac:dyDescent="0.25">
      <c r="A2046" s="10"/>
      <c r="B2046" s="10"/>
      <c r="C2046" s="10"/>
    </row>
    <row r="2047" spans="1:3" x14ac:dyDescent="0.25">
      <c r="A2047" s="10"/>
      <c r="B2047" s="10"/>
      <c r="C2047" s="10"/>
    </row>
    <row r="2048" spans="1:3" x14ac:dyDescent="0.25">
      <c r="A2048" s="10"/>
      <c r="B2048" s="10"/>
      <c r="C2048" s="10"/>
    </row>
    <row r="2049" spans="1:3" x14ac:dyDescent="0.25">
      <c r="A2049" s="10"/>
      <c r="B2049" s="10"/>
      <c r="C2049" s="10"/>
    </row>
    <row r="2050" spans="1:3" x14ac:dyDescent="0.25">
      <c r="A2050" s="10"/>
      <c r="B2050" s="10"/>
      <c r="C2050" s="10"/>
    </row>
    <row r="2051" spans="1:3" x14ac:dyDescent="0.25">
      <c r="A2051" s="10"/>
      <c r="B2051" s="10"/>
      <c r="C2051" s="10"/>
    </row>
    <row r="2052" spans="1:3" x14ac:dyDescent="0.25">
      <c r="A2052" s="10"/>
      <c r="B2052" s="10"/>
      <c r="C2052" s="10"/>
    </row>
    <row r="2053" spans="1:3" x14ac:dyDescent="0.25">
      <c r="A2053" s="10"/>
      <c r="B2053" s="10"/>
      <c r="C2053" s="10"/>
    </row>
    <row r="2054" spans="1:3" x14ac:dyDescent="0.25">
      <c r="A2054" s="10"/>
      <c r="B2054" s="10"/>
      <c r="C2054" s="10"/>
    </row>
    <row r="2055" spans="1:3" x14ac:dyDescent="0.25">
      <c r="A2055" s="10"/>
      <c r="B2055" s="10"/>
      <c r="C2055" s="10"/>
    </row>
    <row r="2056" spans="1:3" x14ac:dyDescent="0.25">
      <c r="A2056" s="10"/>
      <c r="B2056" s="10"/>
      <c r="C2056" s="10"/>
    </row>
    <row r="2057" spans="1:3" x14ac:dyDescent="0.25">
      <c r="A2057" s="10"/>
      <c r="B2057" s="10"/>
      <c r="C2057" s="10"/>
    </row>
    <row r="2058" spans="1:3" x14ac:dyDescent="0.25">
      <c r="A2058" s="10"/>
      <c r="B2058" s="10"/>
      <c r="C2058" s="10"/>
    </row>
    <row r="2059" spans="1:3" x14ac:dyDescent="0.25">
      <c r="A2059" s="10"/>
      <c r="B2059" s="10"/>
      <c r="C2059" s="10"/>
    </row>
    <row r="2060" spans="1:3" x14ac:dyDescent="0.25">
      <c r="A2060" s="10"/>
      <c r="B2060" s="10"/>
      <c r="C2060" s="10"/>
    </row>
    <row r="2061" spans="1:3" x14ac:dyDescent="0.25">
      <c r="A2061" s="10"/>
      <c r="B2061" s="10"/>
      <c r="C2061" s="10"/>
    </row>
    <row r="2062" spans="1:3" x14ac:dyDescent="0.25">
      <c r="A2062" s="10"/>
      <c r="B2062" s="10"/>
      <c r="C2062" s="10"/>
    </row>
    <row r="2063" spans="1:3" x14ac:dyDescent="0.25">
      <c r="A2063" s="10"/>
      <c r="B2063" s="10"/>
      <c r="C2063" s="10"/>
    </row>
    <row r="2064" spans="1:3" x14ac:dyDescent="0.25">
      <c r="A2064" s="10"/>
      <c r="B2064" s="10"/>
      <c r="C2064" s="10"/>
    </row>
    <row r="2065" spans="1:3" x14ac:dyDescent="0.25">
      <c r="A2065" s="10"/>
      <c r="B2065" s="10"/>
      <c r="C2065" s="10"/>
    </row>
    <row r="2066" spans="1:3" x14ac:dyDescent="0.25">
      <c r="A2066" s="10"/>
      <c r="B2066" s="10"/>
      <c r="C2066" s="10"/>
    </row>
    <row r="2067" spans="1:3" x14ac:dyDescent="0.25">
      <c r="A2067" s="10"/>
      <c r="B2067" s="10"/>
      <c r="C2067" s="10"/>
    </row>
    <row r="2068" spans="1:3" x14ac:dyDescent="0.25">
      <c r="A2068" s="10"/>
      <c r="B2068" s="10"/>
      <c r="C2068" s="10"/>
    </row>
    <row r="2069" spans="1:3" x14ac:dyDescent="0.25">
      <c r="A2069" s="10"/>
      <c r="B2069" s="10"/>
      <c r="C2069" s="10"/>
    </row>
    <row r="2070" spans="1:3" x14ac:dyDescent="0.25">
      <c r="A2070" s="10"/>
      <c r="B2070" s="10"/>
      <c r="C2070" s="10"/>
    </row>
    <row r="2071" spans="1:3" x14ac:dyDescent="0.25">
      <c r="A2071" s="10"/>
      <c r="B2071" s="10"/>
      <c r="C2071" s="10"/>
    </row>
    <row r="2072" spans="1:3" x14ac:dyDescent="0.25">
      <c r="A2072" s="10"/>
      <c r="B2072" s="10"/>
      <c r="C2072" s="10"/>
    </row>
    <row r="2073" spans="1:3" x14ac:dyDescent="0.25">
      <c r="A2073" s="10"/>
      <c r="B2073" s="10"/>
      <c r="C2073" s="10"/>
    </row>
    <row r="2074" spans="1:3" x14ac:dyDescent="0.25">
      <c r="A2074" s="10"/>
      <c r="B2074" s="10"/>
      <c r="C2074" s="10"/>
    </row>
    <row r="2075" spans="1:3" x14ac:dyDescent="0.25">
      <c r="A2075" s="10"/>
      <c r="B2075" s="10"/>
      <c r="C2075" s="10"/>
    </row>
    <row r="2076" spans="1:3" x14ac:dyDescent="0.25">
      <c r="A2076" s="10"/>
      <c r="B2076" s="10"/>
      <c r="C2076" s="10"/>
    </row>
    <row r="2077" spans="1:3" x14ac:dyDescent="0.25">
      <c r="A2077" s="10"/>
      <c r="B2077" s="10"/>
      <c r="C2077" s="10"/>
    </row>
    <row r="2078" spans="1:3" x14ac:dyDescent="0.25">
      <c r="A2078" s="10"/>
      <c r="B2078" s="10"/>
      <c r="C2078" s="10"/>
    </row>
    <row r="2079" spans="1:3" x14ac:dyDescent="0.25">
      <c r="A2079" s="10"/>
      <c r="B2079" s="10"/>
      <c r="C2079" s="10"/>
    </row>
    <row r="2080" spans="1:3" x14ac:dyDescent="0.25">
      <c r="A2080" s="10"/>
      <c r="B2080" s="10"/>
      <c r="C2080" s="10"/>
    </row>
    <row r="2081" spans="1:3" x14ac:dyDescent="0.25">
      <c r="A2081" s="10"/>
      <c r="B2081" s="10"/>
      <c r="C2081" s="10"/>
    </row>
    <row r="2082" spans="1:3" x14ac:dyDescent="0.25">
      <c r="A2082" s="10"/>
      <c r="B2082" s="10"/>
      <c r="C2082" s="10"/>
    </row>
    <row r="2083" spans="1:3" x14ac:dyDescent="0.25">
      <c r="A2083" s="10"/>
      <c r="B2083" s="10"/>
      <c r="C2083" s="10"/>
    </row>
    <row r="2084" spans="1:3" x14ac:dyDescent="0.25">
      <c r="A2084" s="10"/>
      <c r="B2084" s="10"/>
      <c r="C2084" s="10"/>
    </row>
    <row r="2085" spans="1:3" x14ac:dyDescent="0.25">
      <c r="A2085" s="10"/>
      <c r="B2085" s="10"/>
      <c r="C2085" s="10"/>
    </row>
    <row r="2086" spans="1:3" x14ac:dyDescent="0.25">
      <c r="A2086" s="10"/>
      <c r="B2086" s="10"/>
      <c r="C2086" s="10"/>
    </row>
    <row r="2087" spans="1:3" x14ac:dyDescent="0.25">
      <c r="A2087" s="10"/>
      <c r="B2087" s="10"/>
      <c r="C2087" s="10"/>
    </row>
    <row r="2088" spans="1:3" x14ac:dyDescent="0.25">
      <c r="A2088" s="10"/>
      <c r="B2088" s="10"/>
      <c r="C2088" s="10"/>
    </row>
    <row r="2089" spans="1:3" x14ac:dyDescent="0.25">
      <c r="A2089" s="10"/>
      <c r="B2089" s="10"/>
      <c r="C2089" s="10"/>
    </row>
    <row r="2090" spans="1:3" x14ac:dyDescent="0.25">
      <c r="A2090" s="10"/>
      <c r="B2090" s="10"/>
      <c r="C2090" s="10"/>
    </row>
    <row r="2091" spans="1:3" x14ac:dyDescent="0.25">
      <c r="A2091" s="10"/>
      <c r="B2091" s="10"/>
      <c r="C2091" s="10"/>
    </row>
    <row r="2092" spans="1:3" x14ac:dyDescent="0.25">
      <c r="A2092" s="10"/>
      <c r="B2092" s="10"/>
      <c r="C2092" s="10"/>
    </row>
    <row r="2093" spans="1:3" x14ac:dyDescent="0.25">
      <c r="A2093" s="10"/>
      <c r="B2093" s="10"/>
      <c r="C2093" s="10"/>
    </row>
    <row r="2094" spans="1:3" x14ac:dyDescent="0.25">
      <c r="A2094" s="10"/>
      <c r="B2094" s="10"/>
      <c r="C2094" s="10"/>
    </row>
    <row r="2095" spans="1:3" x14ac:dyDescent="0.25">
      <c r="A2095" s="10"/>
      <c r="B2095" s="10"/>
      <c r="C2095" s="10"/>
    </row>
    <row r="2096" spans="1:3" x14ac:dyDescent="0.25">
      <c r="A2096" s="10"/>
      <c r="B2096" s="10"/>
      <c r="C2096" s="10"/>
    </row>
    <row r="2097" spans="1:3" x14ac:dyDescent="0.25">
      <c r="A2097" s="10"/>
      <c r="B2097" s="10"/>
      <c r="C2097" s="10"/>
    </row>
    <row r="2098" spans="1:3" x14ac:dyDescent="0.25">
      <c r="A2098" s="10"/>
      <c r="B2098" s="10"/>
      <c r="C2098" s="10"/>
    </row>
    <row r="2099" spans="1:3" x14ac:dyDescent="0.25">
      <c r="A2099" s="10"/>
      <c r="B2099" s="10"/>
      <c r="C2099" s="10"/>
    </row>
    <row r="2100" spans="1:3" x14ac:dyDescent="0.25">
      <c r="A2100" s="10"/>
      <c r="B2100" s="10"/>
      <c r="C2100" s="10"/>
    </row>
    <row r="2101" spans="1:3" x14ac:dyDescent="0.25">
      <c r="A2101" s="10"/>
      <c r="B2101" s="10"/>
      <c r="C2101" s="10"/>
    </row>
    <row r="2102" spans="1:3" x14ac:dyDescent="0.25">
      <c r="A2102" s="10"/>
      <c r="B2102" s="10"/>
      <c r="C2102" s="10"/>
    </row>
    <row r="2103" spans="1:3" x14ac:dyDescent="0.25">
      <c r="A2103" s="10"/>
      <c r="B2103" s="10"/>
      <c r="C2103" s="10"/>
    </row>
    <row r="2104" spans="1:3" x14ac:dyDescent="0.25">
      <c r="A2104" s="10"/>
      <c r="B2104" s="10"/>
      <c r="C2104" s="10"/>
    </row>
    <row r="2105" spans="1:3" x14ac:dyDescent="0.25">
      <c r="A2105" s="10"/>
      <c r="B2105" s="10"/>
      <c r="C2105" s="10"/>
    </row>
    <row r="2106" spans="1:3" x14ac:dyDescent="0.25">
      <c r="A2106" s="10"/>
      <c r="B2106" s="10"/>
      <c r="C2106" s="10"/>
    </row>
    <row r="2107" spans="1:3" x14ac:dyDescent="0.25">
      <c r="A2107" s="10"/>
      <c r="B2107" s="10"/>
      <c r="C2107" s="10"/>
    </row>
    <row r="2108" spans="1:3" x14ac:dyDescent="0.25">
      <c r="A2108" s="10"/>
      <c r="B2108" s="10"/>
      <c r="C2108" s="10"/>
    </row>
    <row r="2109" spans="1:3" x14ac:dyDescent="0.25">
      <c r="A2109" s="10"/>
      <c r="B2109" s="10"/>
      <c r="C2109" s="10"/>
    </row>
    <row r="2110" spans="1:3" x14ac:dyDescent="0.25">
      <c r="A2110" s="10"/>
      <c r="B2110" s="10"/>
      <c r="C2110" s="10"/>
    </row>
    <row r="2111" spans="1:3" x14ac:dyDescent="0.25">
      <c r="A2111" s="10"/>
      <c r="B2111" s="10"/>
      <c r="C2111" s="10"/>
    </row>
    <row r="2112" spans="1:3" x14ac:dyDescent="0.25">
      <c r="A2112" s="10"/>
      <c r="B2112" s="10"/>
      <c r="C2112" s="10"/>
    </row>
    <row r="2113" spans="1:3" x14ac:dyDescent="0.25">
      <c r="A2113" s="10"/>
      <c r="B2113" s="10"/>
      <c r="C2113" s="10"/>
    </row>
    <row r="2114" spans="1:3" x14ac:dyDescent="0.25">
      <c r="A2114" s="10"/>
      <c r="B2114" s="10"/>
      <c r="C2114" s="10"/>
    </row>
    <row r="2115" spans="1:3" x14ac:dyDescent="0.25">
      <c r="A2115" s="10"/>
      <c r="B2115" s="10"/>
      <c r="C2115" s="10"/>
    </row>
    <row r="2116" spans="1:3" x14ac:dyDescent="0.25">
      <c r="A2116" s="10"/>
      <c r="B2116" s="10"/>
      <c r="C2116" s="10"/>
    </row>
    <row r="2117" spans="1:3" x14ac:dyDescent="0.25">
      <c r="A2117" s="10"/>
      <c r="B2117" s="10"/>
      <c r="C2117" s="10"/>
    </row>
    <row r="2118" spans="1:3" x14ac:dyDescent="0.25">
      <c r="A2118" s="10"/>
      <c r="B2118" s="10"/>
      <c r="C2118" s="10"/>
    </row>
    <row r="2119" spans="1:3" x14ac:dyDescent="0.25">
      <c r="A2119" s="10"/>
      <c r="B2119" s="10"/>
      <c r="C2119" s="10"/>
    </row>
    <row r="2120" spans="1:3" x14ac:dyDescent="0.25">
      <c r="A2120" s="10"/>
      <c r="B2120" s="10"/>
      <c r="C2120" s="10"/>
    </row>
    <row r="2121" spans="1:3" x14ac:dyDescent="0.25">
      <c r="A2121" s="10"/>
      <c r="B2121" s="10"/>
      <c r="C2121" s="10"/>
    </row>
    <row r="2122" spans="1:3" x14ac:dyDescent="0.25">
      <c r="A2122" s="10"/>
      <c r="B2122" s="10"/>
      <c r="C2122" s="10"/>
    </row>
    <row r="2123" spans="1:3" x14ac:dyDescent="0.25">
      <c r="A2123" s="10"/>
      <c r="B2123" s="10"/>
      <c r="C2123" s="10"/>
    </row>
    <row r="2124" spans="1:3" x14ac:dyDescent="0.25">
      <c r="A2124" s="10"/>
      <c r="B2124" s="10"/>
      <c r="C2124" s="10"/>
    </row>
    <row r="2125" spans="1:3" x14ac:dyDescent="0.25">
      <c r="A2125" s="10"/>
      <c r="B2125" s="10"/>
      <c r="C2125" s="10"/>
    </row>
    <row r="2126" spans="1:3" x14ac:dyDescent="0.25">
      <c r="A2126" s="10"/>
      <c r="B2126" s="10"/>
      <c r="C2126" s="10"/>
    </row>
    <row r="2127" spans="1:3" x14ac:dyDescent="0.25">
      <c r="A2127" s="10"/>
      <c r="B2127" s="10"/>
      <c r="C2127" s="10"/>
    </row>
    <row r="2128" spans="1:3" x14ac:dyDescent="0.25">
      <c r="A2128" s="10"/>
      <c r="B2128" s="10"/>
      <c r="C2128" s="10"/>
    </row>
    <row r="2129" spans="1:3" x14ac:dyDescent="0.25">
      <c r="A2129" s="10"/>
      <c r="B2129" s="10"/>
      <c r="C2129" s="10"/>
    </row>
    <row r="2130" spans="1:3" x14ac:dyDescent="0.25">
      <c r="A2130" s="10"/>
      <c r="B2130" s="10"/>
      <c r="C2130" s="10"/>
    </row>
    <row r="2131" spans="1:3" x14ac:dyDescent="0.25">
      <c r="A2131" s="10"/>
      <c r="B2131" s="10"/>
      <c r="C2131" s="10"/>
    </row>
    <row r="2132" spans="1:3" x14ac:dyDescent="0.25">
      <c r="A2132" s="10"/>
      <c r="B2132" s="10"/>
      <c r="C2132" s="10"/>
    </row>
    <row r="2133" spans="1:3" x14ac:dyDescent="0.25">
      <c r="A2133" s="10"/>
      <c r="B2133" s="10"/>
      <c r="C2133" s="10"/>
    </row>
    <row r="2134" spans="1:3" x14ac:dyDescent="0.25">
      <c r="A2134" s="10"/>
      <c r="B2134" s="10"/>
      <c r="C2134" s="10"/>
    </row>
    <row r="2135" spans="1:3" x14ac:dyDescent="0.25">
      <c r="A2135" s="10"/>
      <c r="B2135" s="10"/>
      <c r="C2135" s="10"/>
    </row>
    <row r="2136" spans="1:3" x14ac:dyDescent="0.25">
      <c r="A2136" s="10"/>
      <c r="B2136" s="10"/>
      <c r="C2136" s="10"/>
    </row>
    <row r="2137" spans="1:3" x14ac:dyDescent="0.25">
      <c r="A2137" s="10"/>
      <c r="B2137" s="10"/>
      <c r="C2137" s="10"/>
    </row>
    <row r="2138" spans="1:3" x14ac:dyDescent="0.25">
      <c r="A2138" s="10"/>
      <c r="B2138" s="10"/>
      <c r="C2138" s="10"/>
    </row>
    <row r="2139" spans="1:3" x14ac:dyDescent="0.25">
      <c r="A2139" s="10"/>
      <c r="B2139" s="10"/>
      <c r="C2139" s="10"/>
    </row>
    <row r="2140" spans="1:3" x14ac:dyDescent="0.25">
      <c r="A2140" s="10"/>
      <c r="B2140" s="10"/>
      <c r="C2140" s="10"/>
    </row>
    <row r="2141" spans="1:3" x14ac:dyDescent="0.25">
      <c r="A2141" s="10"/>
      <c r="B2141" s="10"/>
      <c r="C2141" s="10"/>
    </row>
    <row r="2142" spans="1:3" x14ac:dyDescent="0.25">
      <c r="A2142" s="10"/>
      <c r="B2142" s="10"/>
      <c r="C2142" s="10"/>
    </row>
    <row r="2143" spans="1:3" x14ac:dyDescent="0.25">
      <c r="A2143" s="10"/>
      <c r="B2143" s="10"/>
      <c r="C2143" s="10"/>
    </row>
    <row r="2144" spans="1:3" x14ac:dyDescent="0.25">
      <c r="A2144" s="10"/>
      <c r="B2144" s="10"/>
      <c r="C2144" s="10"/>
    </row>
    <row r="2145" spans="1:3" x14ac:dyDescent="0.25">
      <c r="A2145" s="10"/>
      <c r="B2145" s="10"/>
      <c r="C2145" s="10"/>
    </row>
    <row r="2146" spans="1:3" x14ac:dyDescent="0.25">
      <c r="A2146" s="10"/>
      <c r="B2146" s="10"/>
      <c r="C2146" s="10"/>
    </row>
    <row r="2147" spans="1:3" x14ac:dyDescent="0.25">
      <c r="A2147" s="10"/>
      <c r="B2147" s="10"/>
      <c r="C2147" s="10"/>
    </row>
    <row r="2148" spans="1:3" x14ac:dyDescent="0.25">
      <c r="A2148" s="10"/>
      <c r="B2148" s="10"/>
      <c r="C2148" s="10"/>
    </row>
    <row r="2149" spans="1:3" x14ac:dyDescent="0.25">
      <c r="A2149" s="10"/>
      <c r="B2149" s="10"/>
      <c r="C2149" s="10"/>
    </row>
    <row r="2150" spans="1:3" x14ac:dyDescent="0.25">
      <c r="A2150" s="10"/>
      <c r="B2150" s="10"/>
      <c r="C2150" s="10"/>
    </row>
    <row r="2151" spans="1:3" x14ac:dyDescent="0.25">
      <c r="A2151" s="10"/>
      <c r="B2151" s="10"/>
      <c r="C2151" s="10"/>
    </row>
    <row r="2152" spans="1:3" x14ac:dyDescent="0.25">
      <c r="A2152" s="10"/>
      <c r="B2152" s="10"/>
      <c r="C2152" s="10"/>
    </row>
    <row r="2153" spans="1:3" x14ac:dyDescent="0.25">
      <c r="A2153" s="10"/>
      <c r="B2153" s="10"/>
      <c r="C2153" s="10"/>
    </row>
    <row r="2154" spans="1:3" x14ac:dyDescent="0.25">
      <c r="A2154" s="10"/>
      <c r="B2154" s="10"/>
      <c r="C2154" s="10"/>
    </row>
    <row r="2155" spans="1:3" x14ac:dyDescent="0.25">
      <c r="A2155" s="10"/>
      <c r="B2155" s="10"/>
      <c r="C2155" s="10"/>
    </row>
    <row r="2156" spans="1:3" x14ac:dyDescent="0.25">
      <c r="A2156" s="10"/>
      <c r="B2156" s="10"/>
      <c r="C2156" s="10"/>
    </row>
    <row r="2157" spans="1:3" x14ac:dyDescent="0.25">
      <c r="A2157" s="10"/>
      <c r="B2157" s="10"/>
      <c r="C2157" s="10"/>
    </row>
    <row r="2158" spans="1:3" x14ac:dyDescent="0.25">
      <c r="A2158" s="10"/>
      <c r="B2158" s="10"/>
      <c r="C2158" s="10"/>
    </row>
    <row r="2159" spans="1:3" x14ac:dyDescent="0.25">
      <c r="A2159" s="10"/>
      <c r="B2159" s="10"/>
      <c r="C2159" s="10"/>
    </row>
    <row r="2160" spans="1:3" x14ac:dyDescent="0.25">
      <c r="A2160" s="10"/>
      <c r="B2160" s="10"/>
      <c r="C2160" s="10"/>
    </row>
    <row r="2161" spans="1:3" x14ac:dyDescent="0.25">
      <c r="A2161" s="10"/>
      <c r="B2161" s="10"/>
      <c r="C2161" s="10"/>
    </row>
    <row r="2162" spans="1:3" x14ac:dyDescent="0.25">
      <c r="A2162" s="10"/>
      <c r="B2162" s="10"/>
      <c r="C2162" s="10"/>
    </row>
    <row r="2163" spans="1:3" x14ac:dyDescent="0.25">
      <c r="A2163" s="10"/>
      <c r="B2163" s="10"/>
      <c r="C2163" s="10"/>
    </row>
    <row r="2164" spans="1:3" x14ac:dyDescent="0.25">
      <c r="A2164" s="10"/>
      <c r="B2164" s="10"/>
      <c r="C2164" s="10"/>
    </row>
    <row r="2165" spans="1:3" x14ac:dyDescent="0.25">
      <c r="A2165" s="10"/>
      <c r="B2165" s="10"/>
      <c r="C2165" s="10"/>
    </row>
    <row r="2166" spans="1:3" x14ac:dyDescent="0.25">
      <c r="A2166" s="10"/>
      <c r="B2166" s="10"/>
      <c r="C2166" s="10"/>
    </row>
    <row r="2167" spans="1:3" x14ac:dyDescent="0.25">
      <c r="A2167" s="10"/>
      <c r="B2167" s="10"/>
      <c r="C2167" s="10"/>
    </row>
    <row r="2168" spans="1:3" x14ac:dyDescent="0.25">
      <c r="A2168" s="10"/>
      <c r="B2168" s="10"/>
      <c r="C2168" s="10"/>
    </row>
    <row r="2169" spans="1:3" x14ac:dyDescent="0.25">
      <c r="A2169" s="10"/>
      <c r="B2169" s="10"/>
      <c r="C2169" s="10"/>
    </row>
    <row r="2170" spans="1:3" x14ac:dyDescent="0.25">
      <c r="A2170" s="10"/>
      <c r="B2170" s="10"/>
      <c r="C2170" s="10"/>
    </row>
    <row r="2171" spans="1:3" x14ac:dyDescent="0.25">
      <c r="A2171" s="10"/>
      <c r="B2171" s="10"/>
      <c r="C2171" s="10"/>
    </row>
    <row r="2172" spans="1:3" x14ac:dyDescent="0.25">
      <c r="A2172" s="10"/>
      <c r="B2172" s="10"/>
      <c r="C2172" s="10"/>
    </row>
    <row r="2173" spans="1:3" x14ac:dyDescent="0.25">
      <c r="A2173" s="10"/>
      <c r="B2173" s="10"/>
      <c r="C2173" s="10"/>
    </row>
    <row r="2174" spans="1:3" x14ac:dyDescent="0.25">
      <c r="A2174" s="10"/>
      <c r="B2174" s="10"/>
      <c r="C2174" s="10"/>
    </row>
    <row r="2175" spans="1:3" x14ac:dyDescent="0.25">
      <c r="A2175" s="10"/>
      <c r="B2175" s="10"/>
      <c r="C2175" s="10"/>
    </row>
    <row r="2176" spans="1:3" x14ac:dyDescent="0.25">
      <c r="A2176" s="10"/>
      <c r="B2176" s="10"/>
      <c r="C2176" s="10"/>
    </row>
    <row r="2177" spans="1:3" x14ac:dyDescent="0.25">
      <c r="A2177" s="10"/>
      <c r="B2177" s="10"/>
      <c r="C2177" s="10"/>
    </row>
    <row r="2178" spans="1:3" x14ac:dyDescent="0.25">
      <c r="A2178" s="10"/>
      <c r="B2178" s="10"/>
      <c r="C2178" s="10"/>
    </row>
    <row r="2179" spans="1:3" x14ac:dyDescent="0.25">
      <c r="A2179" s="10"/>
      <c r="B2179" s="10"/>
      <c r="C2179" s="10"/>
    </row>
    <row r="2180" spans="1:3" x14ac:dyDescent="0.25">
      <c r="A2180" s="10"/>
      <c r="B2180" s="10"/>
      <c r="C2180" s="10"/>
    </row>
    <row r="2181" spans="1:3" x14ac:dyDescent="0.25">
      <c r="A2181" s="10"/>
      <c r="B2181" s="10"/>
      <c r="C2181" s="10"/>
    </row>
    <row r="2182" spans="1:3" x14ac:dyDescent="0.25">
      <c r="A2182" s="10"/>
      <c r="B2182" s="10"/>
      <c r="C2182" s="10"/>
    </row>
    <row r="2183" spans="1:3" x14ac:dyDescent="0.25">
      <c r="A2183" s="10"/>
      <c r="B2183" s="10"/>
      <c r="C2183" s="10"/>
    </row>
    <row r="2184" spans="1:3" x14ac:dyDescent="0.25">
      <c r="A2184" s="10"/>
      <c r="B2184" s="10"/>
      <c r="C2184" s="10"/>
    </row>
    <row r="2185" spans="1:3" x14ac:dyDescent="0.25">
      <c r="A2185" s="10"/>
      <c r="B2185" s="10"/>
      <c r="C2185" s="10"/>
    </row>
    <row r="2186" spans="1:3" x14ac:dyDescent="0.25">
      <c r="A2186" s="10"/>
      <c r="B2186" s="10"/>
      <c r="C2186" s="10"/>
    </row>
    <row r="2187" spans="1:3" x14ac:dyDescent="0.25">
      <c r="A2187" s="10"/>
      <c r="B2187" s="10"/>
      <c r="C2187" s="10"/>
    </row>
    <row r="2188" spans="1:3" x14ac:dyDescent="0.25">
      <c r="A2188" s="10"/>
      <c r="B2188" s="10"/>
      <c r="C2188" s="10"/>
    </row>
    <row r="2189" spans="1:3" x14ac:dyDescent="0.25">
      <c r="A2189" s="10"/>
      <c r="B2189" s="10"/>
      <c r="C2189" s="10"/>
    </row>
    <row r="2190" spans="1:3" x14ac:dyDescent="0.25">
      <c r="A2190" s="10"/>
      <c r="B2190" s="10"/>
      <c r="C2190" s="10"/>
    </row>
    <row r="2191" spans="1:3" x14ac:dyDescent="0.25">
      <c r="A2191" s="10"/>
      <c r="B2191" s="10"/>
      <c r="C2191" s="10"/>
    </row>
    <row r="2192" spans="1:3" x14ac:dyDescent="0.25">
      <c r="A2192" s="10"/>
      <c r="B2192" s="10"/>
      <c r="C2192" s="10"/>
    </row>
    <row r="2193" spans="1:3" x14ac:dyDescent="0.25">
      <c r="A2193" s="10"/>
      <c r="B2193" s="10"/>
      <c r="C2193" s="10"/>
    </row>
    <row r="2194" spans="1:3" x14ac:dyDescent="0.25">
      <c r="A2194" s="10"/>
      <c r="B2194" s="10"/>
      <c r="C2194" s="10"/>
    </row>
    <row r="2195" spans="1:3" x14ac:dyDescent="0.25">
      <c r="A2195" s="10"/>
      <c r="B2195" s="10"/>
      <c r="C2195" s="10"/>
    </row>
    <row r="2196" spans="1:3" x14ac:dyDescent="0.25">
      <c r="A2196" s="10"/>
      <c r="B2196" s="10"/>
      <c r="C2196" s="10"/>
    </row>
    <row r="2197" spans="1:3" x14ac:dyDescent="0.25">
      <c r="A2197" s="10"/>
      <c r="B2197" s="10"/>
      <c r="C2197" s="10"/>
    </row>
    <row r="2198" spans="1:3" x14ac:dyDescent="0.25">
      <c r="A2198" s="10"/>
      <c r="B2198" s="10"/>
      <c r="C2198" s="10"/>
    </row>
    <row r="2199" spans="1:3" x14ac:dyDescent="0.25">
      <c r="A2199" s="10"/>
      <c r="B2199" s="10"/>
      <c r="C2199" s="10"/>
    </row>
    <row r="2200" spans="1:3" x14ac:dyDescent="0.25">
      <c r="A2200" s="10"/>
      <c r="B2200" s="10"/>
      <c r="C2200" s="10"/>
    </row>
    <row r="2201" spans="1:3" x14ac:dyDescent="0.25">
      <c r="A2201" s="10"/>
      <c r="B2201" s="10"/>
      <c r="C2201" s="10"/>
    </row>
    <row r="2202" spans="1:3" x14ac:dyDescent="0.25">
      <c r="A2202" s="10"/>
      <c r="B2202" s="10"/>
      <c r="C2202" s="10"/>
    </row>
    <row r="2203" spans="1:3" x14ac:dyDescent="0.25">
      <c r="A2203" s="10"/>
      <c r="B2203" s="10"/>
      <c r="C2203" s="10"/>
    </row>
    <row r="2204" spans="1:3" x14ac:dyDescent="0.25">
      <c r="A2204" s="10"/>
      <c r="B2204" s="10"/>
      <c r="C2204" s="10"/>
    </row>
    <row r="2205" spans="1:3" x14ac:dyDescent="0.25">
      <c r="A2205" s="10"/>
      <c r="B2205" s="10"/>
      <c r="C2205" s="10"/>
    </row>
    <row r="2206" spans="1:3" x14ac:dyDescent="0.25">
      <c r="A2206" s="10"/>
      <c r="B2206" s="10"/>
      <c r="C2206" s="10"/>
    </row>
    <row r="2207" spans="1:3" x14ac:dyDescent="0.25">
      <c r="A2207" s="10"/>
      <c r="B2207" s="10"/>
      <c r="C2207" s="10"/>
    </row>
    <row r="2208" spans="1:3" x14ac:dyDescent="0.25">
      <c r="A2208" s="10"/>
      <c r="B2208" s="10"/>
      <c r="C2208" s="10"/>
    </row>
    <row r="2209" spans="1:3" x14ac:dyDescent="0.25">
      <c r="A2209" s="10"/>
      <c r="B2209" s="10"/>
      <c r="C2209" s="10"/>
    </row>
    <row r="2210" spans="1:3" x14ac:dyDescent="0.25">
      <c r="A2210" s="10"/>
      <c r="B2210" s="10"/>
      <c r="C2210" s="10"/>
    </row>
    <row r="2211" spans="1:3" x14ac:dyDescent="0.25">
      <c r="A2211" s="10"/>
      <c r="B2211" s="10"/>
      <c r="C2211" s="10"/>
    </row>
    <row r="2212" spans="1:3" x14ac:dyDescent="0.25">
      <c r="A2212" s="10"/>
      <c r="B2212" s="10"/>
      <c r="C2212" s="10"/>
    </row>
    <row r="2213" spans="1:3" x14ac:dyDescent="0.25">
      <c r="A2213" s="10"/>
      <c r="B2213" s="10"/>
      <c r="C2213" s="10"/>
    </row>
    <row r="2214" spans="1:3" x14ac:dyDescent="0.25">
      <c r="A2214" s="10"/>
      <c r="B2214" s="10"/>
      <c r="C2214" s="10"/>
    </row>
    <row r="2215" spans="1:3" x14ac:dyDescent="0.25">
      <c r="A2215" s="10"/>
      <c r="B2215" s="10"/>
      <c r="C2215" s="10"/>
    </row>
    <row r="2216" spans="1:3" x14ac:dyDescent="0.25">
      <c r="A2216" s="10"/>
      <c r="B2216" s="10"/>
      <c r="C2216" s="10"/>
    </row>
    <row r="2217" spans="1:3" x14ac:dyDescent="0.25">
      <c r="A2217" s="10"/>
      <c r="B2217" s="10"/>
      <c r="C2217" s="10"/>
    </row>
    <row r="2218" spans="1:3" x14ac:dyDescent="0.25">
      <c r="A2218" s="10"/>
      <c r="B2218" s="10"/>
      <c r="C2218" s="10"/>
    </row>
    <row r="2219" spans="1:3" x14ac:dyDescent="0.25">
      <c r="A2219" s="10"/>
      <c r="B2219" s="10"/>
      <c r="C2219" s="10"/>
    </row>
    <row r="2220" spans="1:3" x14ac:dyDescent="0.25">
      <c r="A2220" s="10"/>
      <c r="B2220" s="10"/>
      <c r="C2220" s="10"/>
    </row>
    <row r="2221" spans="1:3" x14ac:dyDescent="0.25">
      <c r="A2221" s="10"/>
      <c r="B2221" s="10"/>
      <c r="C2221" s="10"/>
    </row>
    <row r="2222" spans="1:3" x14ac:dyDescent="0.25">
      <c r="A2222" s="10"/>
      <c r="B2222" s="10"/>
      <c r="C2222" s="10"/>
    </row>
    <row r="2223" spans="1:3" x14ac:dyDescent="0.25">
      <c r="A2223" s="10"/>
      <c r="B2223" s="10"/>
      <c r="C2223" s="10"/>
    </row>
    <row r="2224" spans="1:3" x14ac:dyDescent="0.25">
      <c r="A2224" s="10"/>
      <c r="B2224" s="10"/>
      <c r="C2224" s="10"/>
    </row>
    <row r="2225" spans="1:3" x14ac:dyDescent="0.25">
      <c r="A2225" s="10"/>
      <c r="B2225" s="10"/>
      <c r="C2225" s="10"/>
    </row>
    <row r="2226" spans="1:3" x14ac:dyDescent="0.25">
      <c r="A2226" s="10"/>
      <c r="B2226" s="10"/>
      <c r="C2226" s="10"/>
    </row>
    <row r="2227" spans="1:3" x14ac:dyDescent="0.25">
      <c r="A2227" s="10"/>
      <c r="B2227" s="10"/>
      <c r="C2227" s="10"/>
    </row>
    <row r="2228" spans="1:3" x14ac:dyDescent="0.25">
      <c r="A2228" s="10"/>
      <c r="B2228" s="10"/>
      <c r="C2228" s="10"/>
    </row>
    <row r="2229" spans="1:3" x14ac:dyDescent="0.25">
      <c r="A2229" s="10"/>
      <c r="B2229" s="10"/>
      <c r="C2229" s="10"/>
    </row>
    <row r="2230" spans="1:3" x14ac:dyDescent="0.25">
      <c r="A2230" s="10"/>
      <c r="B2230" s="10"/>
      <c r="C2230" s="10"/>
    </row>
    <row r="2231" spans="1:3" x14ac:dyDescent="0.25">
      <c r="A2231" s="10"/>
      <c r="B2231" s="10"/>
      <c r="C2231" s="10"/>
    </row>
    <row r="2232" spans="1:3" x14ac:dyDescent="0.25">
      <c r="A2232" s="10"/>
      <c r="B2232" s="10"/>
      <c r="C2232" s="10"/>
    </row>
    <row r="2233" spans="1:3" x14ac:dyDescent="0.25">
      <c r="A2233" s="10"/>
      <c r="B2233" s="10"/>
      <c r="C2233" s="10"/>
    </row>
    <row r="2234" spans="1:3" x14ac:dyDescent="0.25">
      <c r="A2234" s="10"/>
      <c r="B2234" s="10"/>
      <c r="C2234" s="10"/>
    </row>
    <row r="2235" spans="1:3" x14ac:dyDescent="0.25">
      <c r="A2235" s="10"/>
      <c r="B2235" s="10"/>
      <c r="C2235" s="10"/>
    </row>
    <row r="2236" spans="1:3" x14ac:dyDescent="0.25">
      <c r="A2236" s="10"/>
      <c r="B2236" s="10"/>
      <c r="C2236" s="10"/>
    </row>
    <row r="2237" spans="1:3" x14ac:dyDescent="0.25">
      <c r="A2237" s="10"/>
      <c r="B2237" s="10"/>
      <c r="C2237" s="10"/>
    </row>
    <row r="2238" spans="1:3" x14ac:dyDescent="0.25">
      <c r="A2238" s="10"/>
      <c r="B2238" s="10"/>
      <c r="C2238" s="10"/>
    </row>
    <row r="2239" spans="1:3" x14ac:dyDescent="0.25">
      <c r="A2239" s="10"/>
      <c r="B2239" s="10"/>
      <c r="C2239" s="10"/>
    </row>
    <row r="2240" spans="1:3" x14ac:dyDescent="0.25">
      <c r="A2240" s="10"/>
      <c r="B2240" s="10"/>
      <c r="C2240" s="10"/>
    </row>
    <row r="2241" spans="1:3" x14ac:dyDescent="0.25">
      <c r="A2241" s="10"/>
      <c r="B2241" s="10"/>
      <c r="C2241" s="10"/>
    </row>
    <row r="2242" spans="1:3" x14ac:dyDescent="0.25">
      <c r="A2242" s="10"/>
      <c r="B2242" s="10"/>
      <c r="C2242" s="10"/>
    </row>
    <row r="2243" spans="1:3" x14ac:dyDescent="0.25">
      <c r="A2243" s="10"/>
      <c r="B2243" s="10"/>
      <c r="C2243" s="10"/>
    </row>
    <row r="2244" spans="1:3" x14ac:dyDescent="0.25">
      <c r="A2244" s="10"/>
      <c r="B2244" s="10"/>
      <c r="C2244" s="10"/>
    </row>
    <row r="2245" spans="1:3" x14ac:dyDescent="0.25">
      <c r="A2245" s="10"/>
      <c r="B2245" s="10"/>
      <c r="C2245" s="10"/>
    </row>
    <row r="2246" spans="1:3" x14ac:dyDescent="0.25">
      <c r="A2246" s="10"/>
      <c r="B2246" s="10"/>
      <c r="C2246" s="10"/>
    </row>
    <row r="2247" spans="1:3" x14ac:dyDescent="0.25">
      <c r="A2247" s="10"/>
      <c r="B2247" s="10"/>
      <c r="C2247" s="10"/>
    </row>
    <row r="2248" spans="1:3" x14ac:dyDescent="0.25">
      <c r="A2248" s="10"/>
      <c r="B2248" s="10"/>
      <c r="C2248" s="10"/>
    </row>
    <row r="2249" spans="1:3" x14ac:dyDescent="0.25">
      <c r="A2249" s="10"/>
      <c r="B2249" s="10"/>
      <c r="C2249" s="10"/>
    </row>
    <row r="2250" spans="1:3" x14ac:dyDescent="0.25">
      <c r="A2250" s="10"/>
      <c r="B2250" s="10"/>
      <c r="C2250" s="10"/>
    </row>
    <row r="2251" spans="1:3" x14ac:dyDescent="0.25">
      <c r="A2251" s="10"/>
      <c r="B2251" s="10"/>
      <c r="C2251" s="10"/>
    </row>
    <row r="2252" spans="1:3" x14ac:dyDescent="0.25">
      <c r="A2252" s="10"/>
      <c r="B2252" s="10"/>
      <c r="C2252" s="10"/>
    </row>
    <row r="2253" spans="1:3" x14ac:dyDescent="0.25">
      <c r="A2253" s="10"/>
      <c r="B2253" s="10"/>
      <c r="C2253" s="10"/>
    </row>
    <row r="2254" spans="1:3" x14ac:dyDescent="0.25">
      <c r="A2254" s="10"/>
      <c r="B2254" s="10"/>
      <c r="C2254" s="10"/>
    </row>
    <row r="2255" spans="1:3" x14ac:dyDescent="0.25">
      <c r="A2255" s="10"/>
      <c r="B2255" s="10"/>
      <c r="C2255" s="10"/>
    </row>
    <row r="2256" spans="1:3" x14ac:dyDescent="0.25">
      <c r="A2256" s="10"/>
      <c r="B2256" s="10"/>
      <c r="C2256" s="10"/>
    </row>
    <row r="2257" spans="1:3" x14ac:dyDescent="0.25">
      <c r="A2257" s="10"/>
      <c r="B2257" s="10"/>
      <c r="C2257" s="10"/>
    </row>
    <row r="2258" spans="1:3" x14ac:dyDescent="0.25">
      <c r="A2258" s="10"/>
      <c r="B2258" s="10"/>
      <c r="C2258" s="10"/>
    </row>
    <row r="2259" spans="1:3" x14ac:dyDescent="0.25">
      <c r="A2259" s="10"/>
      <c r="B2259" s="10"/>
      <c r="C2259" s="10"/>
    </row>
    <row r="2260" spans="1:3" x14ac:dyDescent="0.25">
      <c r="A2260" s="10"/>
      <c r="B2260" s="10"/>
      <c r="C2260" s="10"/>
    </row>
    <row r="2261" spans="1:3" x14ac:dyDescent="0.25">
      <c r="A2261" s="10"/>
      <c r="B2261" s="10"/>
      <c r="C2261" s="10"/>
    </row>
    <row r="2262" spans="1:3" x14ac:dyDescent="0.25">
      <c r="A2262" s="10"/>
      <c r="B2262" s="10"/>
      <c r="C2262" s="10"/>
    </row>
    <row r="2263" spans="1:3" x14ac:dyDescent="0.25">
      <c r="A2263" s="10"/>
      <c r="B2263" s="10"/>
      <c r="C2263" s="10"/>
    </row>
    <row r="2264" spans="1:3" x14ac:dyDescent="0.25">
      <c r="A2264" s="10"/>
      <c r="B2264" s="10"/>
      <c r="C2264" s="10"/>
    </row>
    <row r="2265" spans="1:3" x14ac:dyDescent="0.25">
      <c r="A2265" s="10"/>
      <c r="B2265" s="10"/>
      <c r="C2265" s="10"/>
    </row>
    <row r="2266" spans="1:3" x14ac:dyDescent="0.25">
      <c r="A2266" s="10"/>
      <c r="B2266" s="10"/>
      <c r="C2266" s="10"/>
    </row>
    <row r="2267" spans="1:3" x14ac:dyDescent="0.25">
      <c r="A2267" s="10"/>
      <c r="B2267" s="10"/>
      <c r="C2267" s="10"/>
    </row>
    <row r="2268" spans="1:3" x14ac:dyDescent="0.25">
      <c r="A2268" s="10"/>
      <c r="B2268" s="10"/>
      <c r="C2268" s="10"/>
    </row>
    <row r="2269" spans="1:3" x14ac:dyDescent="0.25">
      <c r="A2269" s="10"/>
      <c r="B2269" s="10"/>
      <c r="C2269" s="10"/>
    </row>
    <row r="2270" spans="1:3" x14ac:dyDescent="0.25">
      <c r="A2270" s="10"/>
      <c r="B2270" s="10"/>
      <c r="C2270" s="10"/>
    </row>
    <row r="2271" spans="1:3" x14ac:dyDescent="0.25">
      <c r="A2271" s="10"/>
      <c r="B2271" s="10"/>
      <c r="C2271" s="10"/>
    </row>
    <row r="2272" spans="1:3" x14ac:dyDescent="0.25">
      <c r="A2272" s="10"/>
      <c r="B2272" s="10"/>
      <c r="C2272" s="10"/>
    </row>
    <row r="2273" spans="1:3" x14ac:dyDescent="0.25">
      <c r="A2273" s="10"/>
      <c r="B2273" s="10"/>
      <c r="C2273" s="10"/>
    </row>
    <row r="2274" spans="1:3" x14ac:dyDescent="0.25">
      <c r="A2274" s="10"/>
      <c r="B2274" s="10"/>
      <c r="C2274" s="10"/>
    </row>
    <row r="2275" spans="1:3" x14ac:dyDescent="0.25">
      <c r="A2275" s="10"/>
      <c r="B2275" s="10"/>
      <c r="C2275" s="10"/>
    </row>
    <row r="2276" spans="1:3" x14ac:dyDescent="0.25">
      <c r="A2276" s="10"/>
      <c r="B2276" s="10"/>
      <c r="C2276" s="10"/>
    </row>
    <row r="2277" spans="1:3" x14ac:dyDescent="0.25">
      <c r="A2277" s="10"/>
      <c r="B2277" s="10"/>
      <c r="C2277" s="10"/>
    </row>
    <row r="2278" spans="1:3" x14ac:dyDescent="0.25">
      <c r="A2278" s="10"/>
      <c r="B2278" s="10"/>
      <c r="C2278" s="10"/>
    </row>
    <row r="2279" spans="1:3" x14ac:dyDescent="0.25">
      <c r="A2279" s="10"/>
      <c r="B2279" s="10"/>
      <c r="C2279" s="10"/>
    </row>
    <row r="2280" spans="1:3" x14ac:dyDescent="0.25">
      <c r="A2280" s="10"/>
      <c r="B2280" s="10"/>
      <c r="C2280" s="10"/>
    </row>
    <row r="2281" spans="1:3" x14ac:dyDescent="0.25">
      <c r="A2281" s="10"/>
      <c r="B2281" s="10"/>
      <c r="C2281" s="10"/>
    </row>
    <row r="2282" spans="1:3" x14ac:dyDescent="0.25">
      <c r="A2282" s="10"/>
      <c r="B2282" s="10"/>
      <c r="C2282" s="10"/>
    </row>
    <row r="2283" spans="1:3" x14ac:dyDescent="0.25">
      <c r="A2283" s="10"/>
      <c r="B2283" s="10"/>
      <c r="C2283" s="10"/>
    </row>
    <row r="2284" spans="1:3" x14ac:dyDescent="0.25">
      <c r="A2284" s="10"/>
      <c r="B2284" s="10"/>
      <c r="C2284" s="10"/>
    </row>
    <row r="2285" spans="1:3" x14ac:dyDescent="0.25">
      <c r="A2285" s="10"/>
      <c r="B2285" s="10"/>
      <c r="C2285" s="10"/>
    </row>
    <row r="2286" spans="1:3" x14ac:dyDescent="0.25">
      <c r="A2286" s="10"/>
      <c r="B2286" s="10"/>
      <c r="C2286" s="10"/>
    </row>
    <row r="2287" spans="1:3" x14ac:dyDescent="0.25">
      <c r="A2287" s="10"/>
      <c r="B2287" s="10"/>
      <c r="C2287" s="10"/>
    </row>
    <row r="2288" spans="1:3" x14ac:dyDescent="0.25">
      <c r="A2288" s="10"/>
      <c r="B2288" s="10"/>
      <c r="C2288" s="10"/>
    </row>
    <row r="2289" spans="1:3" x14ac:dyDescent="0.25">
      <c r="A2289" s="10"/>
      <c r="B2289" s="10"/>
      <c r="C2289" s="10"/>
    </row>
    <row r="2290" spans="1:3" x14ac:dyDescent="0.25">
      <c r="A2290" s="10"/>
      <c r="B2290" s="10"/>
      <c r="C2290" s="10"/>
    </row>
    <row r="2291" spans="1:3" x14ac:dyDescent="0.25">
      <c r="A2291" s="10"/>
      <c r="B2291" s="10"/>
      <c r="C2291" s="10"/>
    </row>
    <row r="2292" spans="1:3" x14ac:dyDescent="0.25">
      <c r="A2292" s="10"/>
      <c r="B2292" s="10"/>
      <c r="C2292" s="10"/>
    </row>
    <row r="2293" spans="1:3" x14ac:dyDescent="0.25">
      <c r="A2293" s="10"/>
      <c r="B2293" s="10"/>
      <c r="C2293" s="10"/>
    </row>
    <row r="2294" spans="1:3" x14ac:dyDescent="0.25">
      <c r="A2294" s="10"/>
      <c r="B2294" s="10"/>
      <c r="C2294" s="10"/>
    </row>
    <row r="2295" spans="1:3" x14ac:dyDescent="0.25">
      <c r="A2295" s="10"/>
      <c r="B2295" s="10"/>
      <c r="C2295" s="10"/>
    </row>
    <row r="2296" spans="1:3" x14ac:dyDescent="0.25">
      <c r="A2296" s="10"/>
      <c r="B2296" s="10"/>
      <c r="C2296" s="10"/>
    </row>
    <row r="2297" spans="1:3" x14ac:dyDescent="0.25">
      <c r="A2297" s="10"/>
      <c r="B2297" s="10"/>
      <c r="C2297" s="10"/>
    </row>
    <row r="2298" spans="1:3" x14ac:dyDescent="0.25">
      <c r="A2298" s="10"/>
      <c r="B2298" s="10"/>
      <c r="C2298" s="10"/>
    </row>
    <row r="2299" spans="1:3" x14ac:dyDescent="0.25">
      <c r="A2299" s="10"/>
      <c r="B2299" s="10"/>
      <c r="C2299" s="10"/>
    </row>
    <row r="2300" spans="1:3" x14ac:dyDescent="0.25">
      <c r="A2300" s="10"/>
      <c r="B2300" s="10"/>
      <c r="C2300" s="10"/>
    </row>
    <row r="2301" spans="1:3" x14ac:dyDescent="0.25">
      <c r="A2301" s="10"/>
      <c r="B2301" s="10"/>
      <c r="C2301" s="10"/>
    </row>
    <row r="2302" spans="1:3" x14ac:dyDescent="0.25">
      <c r="A2302" s="10"/>
      <c r="B2302" s="10"/>
      <c r="C2302" s="10"/>
    </row>
    <row r="2303" spans="1:3" x14ac:dyDescent="0.25">
      <c r="A2303" s="10"/>
      <c r="B2303" s="10"/>
      <c r="C2303" s="10"/>
    </row>
    <row r="2304" spans="1:3" x14ac:dyDescent="0.25">
      <c r="A2304" s="10"/>
      <c r="B2304" s="10"/>
      <c r="C2304" s="10"/>
    </row>
    <row r="2305" spans="1:3" x14ac:dyDescent="0.25">
      <c r="A2305" s="10"/>
      <c r="B2305" s="10"/>
      <c r="C2305" s="10"/>
    </row>
    <row r="2306" spans="1:3" x14ac:dyDescent="0.25">
      <c r="A2306" s="10"/>
      <c r="B2306" s="10"/>
      <c r="C2306" s="10"/>
    </row>
    <row r="2307" spans="1:3" x14ac:dyDescent="0.25">
      <c r="A2307" s="10"/>
      <c r="B2307" s="10"/>
      <c r="C2307" s="10"/>
    </row>
    <row r="2308" spans="1:3" x14ac:dyDescent="0.25">
      <c r="A2308" s="10"/>
      <c r="B2308" s="10"/>
      <c r="C2308" s="10"/>
    </row>
    <row r="2309" spans="1:3" x14ac:dyDescent="0.25">
      <c r="A2309" s="10"/>
      <c r="B2309" s="10"/>
      <c r="C2309" s="10"/>
    </row>
    <row r="2310" spans="1:3" x14ac:dyDescent="0.25">
      <c r="A2310" s="10"/>
      <c r="B2310" s="10"/>
      <c r="C2310" s="10"/>
    </row>
    <row r="2311" spans="1:3" x14ac:dyDescent="0.25">
      <c r="A2311" s="10"/>
      <c r="B2311" s="10"/>
      <c r="C2311" s="10"/>
    </row>
    <row r="2312" spans="1:3" x14ac:dyDescent="0.25">
      <c r="A2312" s="10"/>
      <c r="B2312" s="10"/>
      <c r="C2312" s="10"/>
    </row>
    <row r="2313" spans="1:3" x14ac:dyDescent="0.25">
      <c r="A2313" s="10"/>
      <c r="B2313" s="10"/>
      <c r="C2313" s="10"/>
    </row>
    <row r="2314" spans="1:3" x14ac:dyDescent="0.25">
      <c r="A2314" s="10"/>
      <c r="B2314" s="10"/>
      <c r="C2314" s="10"/>
    </row>
    <row r="2315" spans="1:3" x14ac:dyDescent="0.25">
      <c r="A2315" s="10"/>
      <c r="B2315" s="10"/>
      <c r="C2315" s="10"/>
    </row>
    <row r="2316" spans="1:3" x14ac:dyDescent="0.25">
      <c r="A2316" s="10"/>
      <c r="B2316" s="10"/>
      <c r="C2316" s="10"/>
    </row>
    <row r="2317" spans="1:3" x14ac:dyDescent="0.25">
      <c r="A2317" s="10"/>
      <c r="B2317" s="10"/>
      <c r="C2317" s="10"/>
    </row>
    <row r="2318" spans="1:3" x14ac:dyDescent="0.25">
      <c r="A2318" s="10"/>
      <c r="B2318" s="10"/>
      <c r="C2318" s="10"/>
    </row>
    <row r="2319" spans="1:3" x14ac:dyDescent="0.25">
      <c r="A2319" s="10"/>
      <c r="B2319" s="10"/>
      <c r="C2319" s="10"/>
    </row>
    <row r="2320" spans="1:3" x14ac:dyDescent="0.25">
      <c r="A2320" s="10"/>
      <c r="B2320" s="10"/>
      <c r="C2320" s="10"/>
    </row>
    <row r="2321" spans="1:3" x14ac:dyDescent="0.25">
      <c r="A2321" s="10"/>
      <c r="B2321" s="10"/>
      <c r="C2321" s="10"/>
    </row>
    <row r="2322" spans="1:3" x14ac:dyDescent="0.25">
      <c r="A2322" s="10"/>
      <c r="B2322" s="10"/>
      <c r="C2322" s="10"/>
    </row>
    <row r="2323" spans="1:3" x14ac:dyDescent="0.25">
      <c r="A2323" s="10"/>
      <c r="B2323" s="10"/>
      <c r="C2323" s="10"/>
    </row>
    <row r="2324" spans="1:3" x14ac:dyDescent="0.25">
      <c r="A2324" s="10"/>
      <c r="B2324" s="10"/>
      <c r="C2324" s="10"/>
    </row>
    <row r="2325" spans="1:3" x14ac:dyDescent="0.25">
      <c r="A2325" s="10"/>
      <c r="B2325" s="10"/>
      <c r="C2325" s="10"/>
    </row>
    <row r="2326" spans="1:3" x14ac:dyDescent="0.25">
      <c r="A2326" s="10"/>
      <c r="B2326" s="10"/>
      <c r="C2326" s="10"/>
    </row>
    <row r="2327" spans="1:3" x14ac:dyDescent="0.25">
      <c r="A2327" s="10"/>
      <c r="B2327" s="10"/>
      <c r="C2327" s="10"/>
    </row>
    <row r="2328" spans="1:3" x14ac:dyDescent="0.25">
      <c r="A2328" s="10"/>
      <c r="B2328" s="10"/>
      <c r="C2328" s="10"/>
    </row>
    <row r="2329" spans="1:3" x14ac:dyDescent="0.25">
      <c r="A2329" s="10"/>
      <c r="B2329" s="10"/>
      <c r="C2329" s="10"/>
    </row>
    <row r="2330" spans="1:3" x14ac:dyDescent="0.25">
      <c r="A2330" s="10"/>
      <c r="B2330" s="10"/>
      <c r="C2330" s="10"/>
    </row>
    <row r="2331" spans="1:3" x14ac:dyDescent="0.25">
      <c r="A2331" s="10"/>
      <c r="B2331" s="10"/>
      <c r="C2331" s="10"/>
    </row>
    <row r="2332" spans="1:3" x14ac:dyDescent="0.25">
      <c r="A2332" s="10"/>
      <c r="B2332" s="10"/>
      <c r="C2332" s="10"/>
    </row>
    <row r="2333" spans="1:3" x14ac:dyDescent="0.25">
      <c r="A2333" s="10"/>
      <c r="B2333" s="10"/>
      <c r="C2333" s="10"/>
    </row>
    <row r="2334" spans="1:3" x14ac:dyDescent="0.25">
      <c r="A2334" s="10"/>
      <c r="B2334" s="10"/>
      <c r="C2334" s="10"/>
    </row>
    <row r="2335" spans="1:3" x14ac:dyDescent="0.25">
      <c r="A2335" s="10"/>
      <c r="B2335" s="10"/>
      <c r="C2335" s="10"/>
    </row>
    <row r="2336" spans="1:3" x14ac:dyDescent="0.25">
      <c r="A2336" s="10"/>
      <c r="B2336" s="10"/>
      <c r="C2336" s="10"/>
    </row>
    <row r="2337" spans="1:3" x14ac:dyDescent="0.25">
      <c r="A2337" s="10"/>
      <c r="B2337" s="10"/>
      <c r="C2337" s="10"/>
    </row>
    <row r="2338" spans="1:3" x14ac:dyDescent="0.25">
      <c r="A2338" s="10"/>
      <c r="B2338" s="10"/>
      <c r="C2338" s="10"/>
    </row>
    <row r="2339" spans="1:3" x14ac:dyDescent="0.25">
      <c r="A2339" s="10"/>
      <c r="B2339" s="10"/>
      <c r="C2339" s="10"/>
    </row>
    <row r="2340" spans="1:3" x14ac:dyDescent="0.25">
      <c r="A2340" s="10"/>
      <c r="B2340" s="10"/>
      <c r="C2340" s="10"/>
    </row>
    <row r="2341" spans="1:3" x14ac:dyDescent="0.25">
      <c r="A2341" s="10"/>
      <c r="B2341" s="10"/>
      <c r="C2341" s="10"/>
    </row>
    <row r="2342" spans="1:3" x14ac:dyDescent="0.25">
      <c r="A2342" s="10"/>
      <c r="B2342" s="10"/>
      <c r="C2342" s="10"/>
    </row>
    <row r="2343" spans="1:3" x14ac:dyDescent="0.25">
      <c r="A2343" s="10"/>
      <c r="B2343" s="10"/>
      <c r="C2343" s="10"/>
    </row>
    <row r="2344" spans="1:3" x14ac:dyDescent="0.25">
      <c r="A2344" s="10"/>
      <c r="B2344" s="10"/>
      <c r="C2344" s="10"/>
    </row>
    <row r="2345" spans="1:3" x14ac:dyDescent="0.25">
      <c r="A2345" s="10"/>
      <c r="B2345" s="10"/>
      <c r="C2345" s="10"/>
    </row>
    <row r="2346" spans="1:3" x14ac:dyDescent="0.25">
      <c r="A2346" s="10"/>
      <c r="B2346" s="10"/>
      <c r="C2346" s="10"/>
    </row>
    <row r="2347" spans="1:3" x14ac:dyDescent="0.25">
      <c r="A2347" s="10"/>
      <c r="B2347" s="10"/>
      <c r="C2347" s="10"/>
    </row>
    <row r="2348" spans="1:3" x14ac:dyDescent="0.25">
      <c r="A2348" s="10"/>
      <c r="B2348" s="10"/>
      <c r="C2348" s="10"/>
    </row>
    <row r="2349" spans="1:3" x14ac:dyDescent="0.25">
      <c r="A2349" s="10"/>
      <c r="B2349" s="10"/>
      <c r="C2349" s="10"/>
    </row>
    <row r="2350" spans="1:3" x14ac:dyDescent="0.25">
      <c r="A2350" s="10"/>
      <c r="B2350" s="10"/>
      <c r="C2350" s="10"/>
    </row>
    <row r="2351" spans="1:3" x14ac:dyDescent="0.25">
      <c r="A2351" s="10"/>
      <c r="B2351" s="10"/>
      <c r="C2351" s="10"/>
    </row>
    <row r="2352" spans="1:3" x14ac:dyDescent="0.25">
      <c r="A2352" s="10"/>
      <c r="B2352" s="10"/>
      <c r="C2352" s="10"/>
    </row>
    <row r="2353" spans="1:3" x14ac:dyDescent="0.25">
      <c r="A2353" s="10"/>
      <c r="B2353" s="10"/>
      <c r="C2353" s="10"/>
    </row>
    <row r="2354" spans="1:3" x14ac:dyDescent="0.25">
      <c r="A2354" s="10"/>
      <c r="B2354" s="10"/>
      <c r="C2354" s="10"/>
    </row>
    <row r="2355" spans="1:3" x14ac:dyDescent="0.25">
      <c r="A2355" s="10"/>
      <c r="B2355" s="10"/>
      <c r="C2355" s="10"/>
    </row>
    <row r="2356" spans="1:3" x14ac:dyDescent="0.25">
      <c r="A2356" s="10"/>
      <c r="B2356" s="10"/>
      <c r="C2356" s="10"/>
    </row>
    <row r="2357" spans="1:3" x14ac:dyDescent="0.25">
      <c r="A2357" s="10"/>
      <c r="B2357" s="10"/>
      <c r="C2357" s="10"/>
    </row>
    <row r="2358" spans="1:3" x14ac:dyDescent="0.25">
      <c r="A2358" s="10"/>
      <c r="B2358" s="10"/>
      <c r="C2358" s="10"/>
    </row>
    <row r="2359" spans="1:3" x14ac:dyDescent="0.25">
      <c r="A2359" s="10"/>
      <c r="B2359" s="10"/>
      <c r="C2359" s="10"/>
    </row>
    <row r="2360" spans="1:3" x14ac:dyDescent="0.25">
      <c r="A2360" s="10"/>
      <c r="B2360" s="10"/>
      <c r="C2360" s="10"/>
    </row>
    <row r="2361" spans="1:3" x14ac:dyDescent="0.25">
      <c r="A2361" s="10"/>
      <c r="B2361" s="10"/>
      <c r="C2361" s="10"/>
    </row>
    <row r="2362" spans="1:3" x14ac:dyDescent="0.25">
      <c r="A2362" s="10"/>
      <c r="B2362" s="10"/>
      <c r="C2362" s="10"/>
    </row>
    <row r="2363" spans="1:3" x14ac:dyDescent="0.25">
      <c r="A2363" s="10"/>
      <c r="B2363" s="10"/>
      <c r="C2363" s="10"/>
    </row>
    <row r="2364" spans="1:3" x14ac:dyDescent="0.25">
      <c r="A2364" s="10"/>
      <c r="B2364" s="10"/>
      <c r="C2364" s="10"/>
    </row>
    <row r="2365" spans="1:3" x14ac:dyDescent="0.25">
      <c r="A2365" s="10"/>
      <c r="B2365" s="10"/>
      <c r="C2365" s="10"/>
    </row>
    <row r="2366" spans="1:3" x14ac:dyDescent="0.25">
      <c r="A2366" s="10"/>
      <c r="B2366" s="10"/>
      <c r="C2366" s="10"/>
    </row>
    <row r="2367" spans="1:3" x14ac:dyDescent="0.25">
      <c r="A2367" s="10"/>
      <c r="B2367" s="10"/>
      <c r="C2367" s="10"/>
    </row>
    <row r="2368" spans="1:3" x14ac:dyDescent="0.25">
      <c r="A2368" s="10"/>
      <c r="B2368" s="10"/>
      <c r="C2368" s="10"/>
    </row>
    <row r="2369" spans="1:3" x14ac:dyDescent="0.25">
      <c r="A2369" s="10"/>
      <c r="B2369" s="10"/>
      <c r="C2369" s="10"/>
    </row>
    <row r="2370" spans="1:3" x14ac:dyDescent="0.25">
      <c r="A2370" s="10"/>
      <c r="B2370" s="10"/>
      <c r="C2370" s="10"/>
    </row>
    <row r="2371" spans="1:3" x14ac:dyDescent="0.25">
      <c r="A2371" s="10"/>
      <c r="B2371" s="10"/>
      <c r="C2371" s="10"/>
    </row>
    <row r="2372" spans="1:3" x14ac:dyDescent="0.25">
      <c r="A2372" s="10"/>
      <c r="B2372" s="10"/>
      <c r="C2372" s="10"/>
    </row>
    <row r="2373" spans="1:3" x14ac:dyDescent="0.25">
      <c r="A2373" s="10"/>
      <c r="B2373" s="10"/>
      <c r="C2373" s="10"/>
    </row>
    <row r="2374" spans="1:3" x14ac:dyDescent="0.25">
      <c r="A2374" s="10"/>
      <c r="B2374" s="10"/>
      <c r="C2374" s="10"/>
    </row>
    <row r="2375" spans="1:3" x14ac:dyDescent="0.25">
      <c r="A2375" s="10"/>
      <c r="B2375" s="10"/>
      <c r="C2375" s="10"/>
    </row>
    <row r="2376" spans="1:3" x14ac:dyDescent="0.25">
      <c r="A2376" s="10"/>
      <c r="B2376" s="10"/>
      <c r="C2376" s="10"/>
    </row>
    <row r="2377" spans="1:3" x14ac:dyDescent="0.25">
      <c r="A2377" s="10"/>
      <c r="B2377" s="10"/>
      <c r="C2377" s="10"/>
    </row>
    <row r="2378" spans="1:3" x14ac:dyDescent="0.25">
      <c r="A2378" s="10"/>
      <c r="B2378" s="10"/>
      <c r="C2378" s="10"/>
    </row>
    <row r="2379" spans="1:3" x14ac:dyDescent="0.25">
      <c r="A2379" s="10"/>
      <c r="B2379" s="10"/>
      <c r="C2379" s="10"/>
    </row>
    <row r="2380" spans="1:3" x14ac:dyDescent="0.25">
      <c r="A2380" s="10"/>
      <c r="B2380" s="10"/>
      <c r="C2380" s="10"/>
    </row>
    <row r="2381" spans="1:3" x14ac:dyDescent="0.25">
      <c r="A2381" s="10"/>
      <c r="B2381" s="10"/>
      <c r="C2381" s="10"/>
    </row>
    <row r="2382" spans="1:3" x14ac:dyDescent="0.25">
      <c r="A2382" s="10"/>
      <c r="B2382" s="10"/>
      <c r="C2382" s="10"/>
    </row>
    <row r="2383" spans="1:3" x14ac:dyDescent="0.25">
      <c r="A2383" s="10"/>
      <c r="B2383" s="10"/>
      <c r="C2383" s="10"/>
    </row>
    <row r="2384" spans="1:3" x14ac:dyDescent="0.25">
      <c r="A2384" s="10"/>
      <c r="B2384" s="10"/>
      <c r="C2384" s="10"/>
    </row>
    <row r="2385" spans="1:3" x14ac:dyDescent="0.25">
      <c r="A2385" s="10"/>
      <c r="B2385" s="10"/>
      <c r="C2385" s="10"/>
    </row>
    <row r="2386" spans="1:3" x14ac:dyDescent="0.25">
      <c r="A2386" s="10"/>
      <c r="B2386" s="10"/>
      <c r="C2386" s="10"/>
    </row>
    <row r="2387" spans="1:3" x14ac:dyDescent="0.25">
      <c r="A2387" s="10"/>
      <c r="B2387" s="10"/>
      <c r="C2387" s="10"/>
    </row>
    <row r="2388" spans="1:3" x14ac:dyDescent="0.25">
      <c r="A2388" s="10"/>
      <c r="B2388" s="10"/>
      <c r="C2388" s="10"/>
    </row>
    <row r="2389" spans="1:3" x14ac:dyDescent="0.25">
      <c r="A2389" s="10"/>
      <c r="B2389" s="10"/>
      <c r="C2389" s="10"/>
    </row>
    <row r="2390" spans="1:3" x14ac:dyDescent="0.25">
      <c r="A2390" s="10"/>
      <c r="B2390" s="10"/>
      <c r="C2390" s="10"/>
    </row>
    <row r="2391" spans="1:3" x14ac:dyDescent="0.25">
      <c r="A2391" s="10"/>
      <c r="B2391" s="10"/>
      <c r="C2391" s="10"/>
    </row>
    <row r="2392" spans="1:3" x14ac:dyDescent="0.25">
      <c r="A2392" s="10"/>
      <c r="B2392" s="10"/>
      <c r="C2392" s="10"/>
    </row>
    <row r="2393" spans="1:3" x14ac:dyDescent="0.25">
      <c r="A2393" s="10"/>
      <c r="B2393" s="10"/>
      <c r="C2393" s="10"/>
    </row>
    <row r="2394" spans="1:3" x14ac:dyDescent="0.25">
      <c r="A2394" s="10"/>
      <c r="B2394" s="10"/>
      <c r="C2394" s="10"/>
    </row>
    <row r="2395" spans="1:3" x14ac:dyDescent="0.25">
      <c r="A2395" s="10"/>
      <c r="B2395" s="10"/>
      <c r="C2395" s="10"/>
    </row>
    <row r="2396" spans="1:3" x14ac:dyDescent="0.25">
      <c r="A2396" s="10"/>
      <c r="B2396" s="10"/>
      <c r="C2396" s="10"/>
    </row>
    <row r="2397" spans="1:3" x14ac:dyDescent="0.25">
      <c r="A2397" s="10"/>
      <c r="B2397" s="10"/>
      <c r="C2397" s="10"/>
    </row>
    <row r="2398" spans="1:3" x14ac:dyDescent="0.25">
      <c r="A2398" s="10"/>
      <c r="B2398" s="10"/>
      <c r="C2398" s="10"/>
    </row>
    <row r="2399" spans="1:3" x14ac:dyDescent="0.25">
      <c r="A2399" s="10"/>
      <c r="B2399" s="10"/>
      <c r="C2399" s="10"/>
    </row>
    <row r="2400" spans="1:3" x14ac:dyDescent="0.25">
      <c r="A2400" s="10"/>
      <c r="B2400" s="10"/>
      <c r="C2400" s="10"/>
    </row>
    <row r="2401" spans="1:3" x14ac:dyDescent="0.25">
      <c r="A2401" s="10"/>
      <c r="B2401" s="10"/>
      <c r="C2401" s="10"/>
    </row>
    <row r="2402" spans="1:3" x14ac:dyDescent="0.25">
      <c r="A2402" s="10"/>
      <c r="B2402" s="10"/>
      <c r="C2402" s="10"/>
    </row>
    <row r="2403" spans="1:3" x14ac:dyDescent="0.25">
      <c r="A2403" s="10"/>
      <c r="B2403" s="10"/>
      <c r="C2403" s="10"/>
    </row>
    <row r="2404" spans="1:3" x14ac:dyDescent="0.25">
      <c r="A2404" s="10"/>
      <c r="B2404" s="10"/>
      <c r="C2404" s="10"/>
    </row>
    <row r="2405" spans="1:3" x14ac:dyDescent="0.25">
      <c r="A2405" s="10"/>
      <c r="B2405" s="10"/>
      <c r="C2405" s="10"/>
    </row>
    <row r="2406" spans="1:3" x14ac:dyDescent="0.25">
      <c r="A2406" s="10"/>
      <c r="B2406" s="10"/>
      <c r="C2406" s="10"/>
    </row>
    <row r="2407" spans="1:3" x14ac:dyDescent="0.25">
      <c r="A2407" s="10"/>
      <c r="B2407" s="10"/>
      <c r="C2407" s="10"/>
    </row>
    <row r="2408" spans="1:3" x14ac:dyDescent="0.25">
      <c r="A2408" s="10"/>
      <c r="B2408" s="10"/>
      <c r="C2408" s="10"/>
    </row>
    <row r="2409" spans="1:3" x14ac:dyDescent="0.25">
      <c r="A2409" s="10"/>
      <c r="B2409" s="10"/>
      <c r="C2409" s="10"/>
    </row>
    <row r="2410" spans="1:3" x14ac:dyDescent="0.25">
      <c r="A2410" s="10"/>
      <c r="B2410" s="10"/>
      <c r="C2410" s="10"/>
    </row>
    <row r="2411" spans="1:3" x14ac:dyDescent="0.25">
      <c r="A2411" s="10"/>
      <c r="B2411" s="10"/>
      <c r="C2411" s="10"/>
    </row>
    <row r="2412" spans="1:3" x14ac:dyDescent="0.25">
      <c r="A2412" s="10"/>
      <c r="B2412" s="10"/>
      <c r="C2412" s="10"/>
    </row>
    <row r="2413" spans="1:3" x14ac:dyDescent="0.25">
      <c r="A2413" s="10"/>
      <c r="B2413" s="10"/>
      <c r="C2413" s="10"/>
    </row>
    <row r="2414" spans="1:3" x14ac:dyDescent="0.25">
      <c r="A2414" s="10"/>
      <c r="B2414" s="10"/>
      <c r="C2414" s="10"/>
    </row>
    <row r="2415" spans="1:3" x14ac:dyDescent="0.25">
      <c r="A2415" s="10"/>
      <c r="B2415" s="10"/>
      <c r="C2415" s="10"/>
    </row>
    <row r="2416" spans="1:3" x14ac:dyDescent="0.25">
      <c r="A2416" s="10"/>
      <c r="B2416" s="10"/>
      <c r="C2416" s="10"/>
    </row>
    <row r="2417" spans="1:3" x14ac:dyDescent="0.25">
      <c r="A2417" s="10"/>
      <c r="B2417" s="10"/>
      <c r="C2417" s="10"/>
    </row>
    <row r="2418" spans="1:3" x14ac:dyDescent="0.25">
      <c r="A2418" s="10"/>
      <c r="B2418" s="10"/>
      <c r="C2418" s="10"/>
    </row>
    <row r="2419" spans="1:3" x14ac:dyDescent="0.25">
      <c r="A2419" s="10"/>
      <c r="B2419" s="10"/>
      <c r="C2419" s="10"/>
    </row>
    <row r="2420" spans="1:3" x14ac:dyDescent="0.25">
      <c r="A2420" s="10"/>
      <c r="B2420" s="10"/>
      <c r="C2420" s="10"/>
    </row>
    <row r="2421" spans="1:3" x14ac:dyDescent="0.25">
      <c r="A2421" s="10"/>
      <c r="B2421" s="10"/>
      <c r="C2421" s="10"/>
    </row>
    <row r="2422" spans="1:3" x14ac:dyDescent="0.25">
      <c r="A2422" s="10"/>
      <c r="B2422" s="10"/>
      <c r="C2422" s="10"/>
    </row>
    <row r="2423" spans="1:3" x14ac:dyDescent="0.25">
      <c r="A2423" s="10"/>
      <c r="B2423" s="10"/>
      <c r="C2423" s="10"/>
    </row>
    <row r="2424" spans="1:3" x14ac:dyDescent="0.25">
      <c r="A2424" s="10"/>
      <c r="B2424" s="10"/>
      <c r="C2424" s="10"/>
    </row>
    <row r="2425" spans="1:3" x14ac:dyDescent="0.25">
      <c r="A2425" s="10"/>
      <c r="B2425" s="10"/>
      <c r="C2425" s="10"/>
    </row>
    <row r="2426" spans="1:3" x14ac:dyDescent="0.25">
      <c r="A2426" s="10"/>
      <c r="B2426" s="10"/>
      <c r="C2426" s="10"/>
    </row>
    <row r="2427" spans="1:3" x14ac:dyDescent="0.25">
      <c r="A2427" s="10"/>
      <c r="B2427" s="10"/>
      <c r="C2427" s="10"/>
    </row>
    <row r="2428" spans="1:3" x14ac:dyDescent="0.25">
      <c r="A2428" s="10"/>
      <c r="B2428" s="10"/>
      <c r="C2428" s="10"/>
    </row>
    <row r="2429" spans="1:3" x14ac:dyDescent="0.25">
      <c r="A2429" s="10"/>
      <c r="B2429" s="10"/>
      <c r="C2429" s="10"/>
    </row>
    <row r="2430" spans="1:3" x14ac:dyDescent="0.25">
      <c r="A2430" s="10"/>
      <c r="B2430" s="10"/>
      <c r="C2430" s="10"/>
    </row>
    <row r="2431" spans="1:3" x14ac:dyDescent="0.25">
      <c r="A2431" s="10"/>
      <c r="B2431" s="10"/>
      <c r="C2431" s="10"/>
    </row>
    <row r="2432" spans="1:3" x14ac:dyDescent="0.25">
      <c r="A2432" s="10"/>
      <c r="B2432" s="10"/>
      <c r="C2432" s="10"/>
    </row>
    <row r="2433" spans="1:3" x14ac:dyDescent="0.25">
      <c r="A2433" s="10"/>
      <c r="B2433" s="10"/>
      <c r="C2433" s="10"/>
    </row>
    <row r="2434" spans="1:3" x14ac:dyDescent="0.25">
      <c r="A2434" s="10"/>
      <c r="B2434" s="10"/>
      <c r="C2434" s="10"/>
    </row>
    <row r="2435" spans="1:3" x14ac:dyDescent="0.25">
      <c r="A2435" s="10"/>
      <c r="B2435" s="10"/>
      <c r="C2435" s="10"/>
    </row>
    <row r="2436" spans="1:3" x14ac:dyDescent="0.25">
      <c r="A2436" s="10"/>
      <c r="B2436" s="10"/>
      <c r="C2436" s="10"/>
    </row>
    <row r="2437" spans="1:3" x14ac:dyDescent="0.25">
      <c r="A2437" s="10"/>
      <c r="B2437" s="10"/>
      <c r="C2437" s="10"/>
    </row>
    <row r="2438" spans="1:3" x14ac:dyDescent="0.25">
      <c r="A2438" s="10"/>
      <c r="B2438" s="10"/>
      <c r="C2438" s="10"/>
    </row>
    <row r="2439" spans="1:3" x14ac:dyDescent="0.25">
      <c r="A2439" s="10"/>
      <c r="B2439" s="10"/>
      <c r="C2439" s="10"/>
    </row>
    <row r="2440" spans="1:3" x14ac:dyDescent="0.25">
      <c r="A2440" s="10"/>
      <c r="B2440" s="10"/>
      <c r="C2440" s="10"/>
    </row>
    <row r="2441" spans="1:3" x14ac:dyDescent="0.25">
      <c r="A2441" s="10"/>
      <c r="B2441" s="10"/>
      <c r="C2441" s="10"/>
    </row>
    <row r="2442" spans="1:3" x14ac:dyDescent="0.25">
      <c r="A2442" s="10"/>
      <c r="B2442" s="10"/>
      <c r="C2442" s="10"/>
    </row>
    <row r="2443" spans="1:3" x14ac:dyDescent="0.25">
      <c r="A2443" s="10"/>
      <c r="B2443" s="10"/>
      <c r="C2443" s="10"/>
    </row>
    <row r="2444" spans="1:3" x14ac:dyDescent="0.25">
      <c r="A2444" s="10"/>
      <c r="B2444" s="10"/>
      <c r="C2444" s="10"/>
    </row>
    <row r="2445" spans="1:3" x14ac:dyDescent="0.25">
      <c r="A2445" s="10"/>
      <c r="B2445" s="10"/>
      <c r="C2445" s="10"/>
    </row>
    <row r="2446" spans="1:3" x14ac:dyDescent="0.25">
      <c r="A2446" s="10"/>
      <c r="B2446" s="10"/>
      <c r="C2446" s="10"/>
    </row>
    <row r="2447" spans="1:3" x14ac:dyDescent="0.25">
      <c r="A2447" s="10"/>
      <c r="B2447" s="10"/>
      <c r="C2447" s="10"/>
    </row>
    <row r="2448" spans="1:3" x14ac:dyDescent="0.25">
      <c r="A2448" s="10"/>
      <c r="B2448" s="10"/>
      <c r="C2448" s="10"/>
    </row>
    <row r="2449" spans="1:3" x14ac:dyDescent="0.25">
      <c r="A2449" s="10"/>
      <c r="B2449" s="10"/>
      <c r="C2449" s="10"/>
    </row>
    <row r="2450" spans="1:3" x14ac:dyDescent="0.25">
      <c r="A2450" s="10"/>
      <c r="B2450" s="10"/>
      <c r="C2450" s="10"/>
    </row>
    <row r="2451" spans="1:3" x14ac:dyDescent="0.25">
      <c r="A2451" s="10"/>
      <c r="B2451" s="10"/>
      <c r="C2451" s="10"/>
    </row>
    <row r="2452" spans="1:3" x14ac:dyDescent="0.25">
      <c r="A2452" s="10"/>
      <c r="B2452" s="10"/>
      <c r="C2452" s="10"/>
    </row>
    <row r="2453" spans="1:3" x14ac:dyDescent="0.25">
      <c r="A2453" s="10"/>
      <c r="B2453" s="10"/>
      <c r="C2453" s="10"/>
    </row>
    <row r="2454" spans="1:3" x14ac:dyDescent="0.25">
      <c r="A2454" s="10"/>
      <c r="B2454" s="10"/>
      <c r="C2454" s="10"/>
    </row>
    <row r="2455" spans="1:3" x14ac:dyDescent="0.25">
      <c r="A2455" s="10"/>
      <c r="B2455" s="10"/>
      <c r="C2455" s="10"/>
    </row>
    <row r="2456" spans="1:3" x14ac:dyDescent="0.25">
      <c r="A2456" s="10"/>
      <c r="B2456" s="10"/>
      <c r="C2456" s="10"/>
    </row>
    <row r="2457" spans="1:3" x14ac:dyDescent="0.25">
      <c r="A2457" s="10"/>
      <c r="B2457" s="10"/>
      <c r="C2457" s="10"/>
    </row>
    <row r="2458" spans="1:3" x14ac:dyDescent="0.25">
      <c r="A2458" s="10"/>
      <c r="B2458" s="10"/>
      <c r="C2458" s="10"/>
    </row>
    <row r="2459" spans="1:3" x14ac:dyDescent="0.25">
      <c r="A2459" s="10"/>
      <c r="B2459" s="10"/>
      <c r="C2459" s="10"/>
    </row>
    <row r="2460" spans="1:3" x14ac:dyDescent="0.25">
      <c r="A2460" s="10"/>
      <c r="B2460" s="10"/>
      <c r="C2460" s="10"/>
    </row>
    <row r="2461" spans="1:3" x14ac:dyDescent="0.25">
      <c r="A2461" s="10"/>
      <c r="B2461" s="10"/>
      <c r="C2461" s="10"/>
    </row>
    <row r="2462" spans="1:3" x14ac:dyDescent="0.25">
      <c r="A2462" s="10"/>
      <c r="B2462" s="10"/>
      <c r="C2462" s="10"/>
    </row>
    <row r="2463" spans="1:3" x14ac:dyDescent="0.25">
      <c r="A2463" s="10"/>
      <c r="B2463" s="10"/>
      <c r="C2463" s="10"/>
    </row>
    <row r="2464" spans="1:3" x14ac:dyDescent="0.25">
      <c r="A2464" s="10"/>
      <c r="B2464" s="10"/>
      <c r="C2464" s="10"/>
    </row>
    <row r="2465" spans="1:3" x14ac:dyDescent="0.25">
      <c r="A2465" s="10"/>
      <c r="B2465" s="10"/>
      <c r="C2465" s="10"/>
    </row>
    <row r="2466" spans="1:3" x14ac:dyDescent="0.25">
      <c r="A2466" s="10"/>
      <c r="B2466" s="10"/>
      <c r="C2466" s="10"/>
    </row>
    <row r="2467" spans="1:3" x14ac:dyDescent="0.25">
      <c r="A2467" s="10"/>
      <c r="B2467" s="10"/>
      <c r="C2467" s="10"/>
    </row>
    <row r="2468" spans="1:3" x14ac:dyDescent="0.25">
      <c r="A2468" s="10"/>
      <c r="B2468" s="10"/>
      <c r="C2468" s="10"/>
    </row>
    <row r="2469" spans="1:3" x14ac:dyDescent="0.25">
      <c r="A2469" s="10"/>
      <c r="B2469" s="10"/>
      <c r="C2469" s="10"/>
    </row>
    <row r="2470" spans="1:3" x14ac:dyDescent="0.25">
      <c r="A2470" s="10"/>
      <c r="B2470" s="10"/>
      <c r="C2470" s="10"/>
    </row>
    <row r="2471" spans="1:3" x14ac:dyDescent="0.25">
      <c r="A2471" s="10"/>
      <c r="B2471" s="10"/>
      <c r="C2471" s="10"/>
    </row>
    <row r="2472" spans="1:3" x14ac:dyDescent="0.25">
      <c r="A2472" s="10"/>
      <c r="B2472" s="10"/>
      <c r="C2472" s="10"/>
    </row>
    <row r="2473" spans="1:3" x14ac:dyDescent="0.25">
      <c r="A2473" s="10"/>
      <c r="B2473" s="10"/>
      <c r="C2473" s="10"/>
    </row>
    <row r="2474" spans="1:3" x14ac:dyDescent="0.25">
      <c r="A2474" s="10"/>
      <c r="B2474" s="10"/>
      <c r="C2474" s="10"/>
    </row>
    <row r="2475" spans="1:3" x14ac:dyDescent="0.25">
      <c r="A2475" s="10"/>
      <c r="B2475" s="10"/>
      <c r="C2475" s="10"/>
    </row>
    <row r="2476" spans="1:3" x14ac:dyDescent="0.25">
      <c r="A2476" s="10"/>
      <c r="B2476" s="10"/>
      <c r="C2476" s="10"/>
    </row>
    <row r="2477" spans="1:3" x14ac:dyDescent="0.25">
      <c r="A2477" s="10"/>
      <c r="B2477" s="10"/>
      <c r="C2477" s="10"/>
    </row>
    <row r="2478" spans="1:3" x14ac:dyDescent="0.25">
      <c r="A2478" s="10"/>
      <c r="B2478" s="10"/>
      <c r="C2478" s="10"/>
    </row>
    <row r="2479" spans="1:3" x14ac:dyDescent="0.25">
      <c r="A2479" s="10"/>
      <c r="B2479" s="10"/>
      <c r="C2479" s="10"/>
    </row>
    <row r="2480" spans="1:3" x14ac:dyDescent="0.25">
      <c r="A2480" s="10"/>
      <c r="B2480" s="10"/>
      <c r="C2480" s="10"/>
    </row>
    <row r="2481" spans="1:3" x14ac:dyDescent="0.25">
      <c r="A2481" s="10"/>
      <c r="B2481" s="10"/>
      <c r="C2481" s="10"/>
    </row>
    <row r="2482" spans="1:3" x14ac:dyDescent="0.25">
      <c r="A2482" s="10"/>
      <c r="B2482" s="10"/>
      <c r="C2482" s="10"/>
    </row>
    <row r="2483" spans="1:3" x14ac:dyDescent="0.25">
      <c r="A2483" s="10"/>
      <c r="B2483" s="10"/>
      <c r="C2483" s="10"/>
    </row>
    <row r="2484" spans="1:3" x14ac:dyDescent="0.25">
      <c r="A2484" s="10"/>
      <c r="B2484" s="10"/>
      <c r="C2484" s="10"/>
    </row>
    <row r="2485" spans="1:3" x14ac:dyDescent="0.25">
      <c r="A2485" s="10"/>
      <c r="B2485" s="10"/>
      <c r="C2485" s="10"/>
    </row>
    <row r="2486" spans="1:3" x14ac:dyDescent="0.25">
      <c r="A2486" s="10"/>
      <c r="B2486" s="10"/>
      <c r="C2486" s="10"/>
    </row>
    <row r="2487" spans="1:3" x14ac:dyDescent="0.25">
      <c r="A2487" s="10"/>
      <c r="B2487" s="10"/>
      <c r="C2487" s="10"/>
    </row>
    <row r="2488" spans="1:3" x14ac:dyDescent="0.25">
      <c r="A2488" s="10"/>
      <c r="B2488" s="10"/>
      <c r="C2488" s="10"/>
    </row>
    <row r="2489" spans="1:3" x14ac:dyDescent="0.25">
      <c r="A2489" s="10"/>
      <c r="B2489" s="10"/>
      <c r="C2489" s="10"/>
    </row>
    <row r="2490" spans="1:3" x14ac:dyDescent="0.25">
      <c r="A2490" s="10"/>
      <c r="B2490" s="10"/>
      <c r="C2490" s="10"/>
    </row>
    <row r="2491" spans="1:3" x14ac:dyDescent="0.25">
      <c r="A2491" s="10"/>
      <c r="B2491" s="10"/>
      <c r="C2491" s="10"/>
    </row>
    <row r="2492" spans="1:3" x14ac:dyDescent="0.25">
      <c r="A2492" s="10"/>
      <c r="B2492" s="10"/>
      <c r="C2492" s="10"/>
    </row>
    <row r="2493" spans="1:3" x14ac:dyDescent="0.25">
      <c r="A2493" s="10"/>
      <c r="B2493" s="10"/>
      <c r="C2493" s="10"/>
    </row>
    <row r="2494" spans="1:3" x14ac:dyDescent="0.25">
      <c r="A2494" s="10"/>
      <c r="B2494" s="10"/>
      <c r="C2494" s="10"/>
    </row>
    <row r="2495" spans="1:3" x14ac:dyDescent="0.25">
      <c r="A2495" s="10"/>
      <c r="B2495" s="10"/>
      <c r="C2495" s="10"/>
    </row>
    <row r="2496" spans="1:3" x14ac:dyDescent="0.25">
      <c r="A2496" s="10"/>
      <c r="B2496" s="10"/>
      <c r="C2496" s="10"/>
    </row>
    <row r="2497" spans="1:3" x14ac:dyDescent="0.25">
      <c r="A2497" s="10"/>
      <c r="B2497" s="10"/>
      <c r="C2497" s="10"/>
    </row>
    <row r="2498" spans="1:3" x14ac:dyDescent="0.25">
      <c r="A2498" s="10"/>
      <c r="B2498" s="10"/>
      <c r="C2498" s="10"/>
    </row>
    <row r="2499" spans="1:3" x14ac:dyDescent="0.25">
      <c r="A2499" s="10"/>
      <c r="B2499" s="10"/>
      <c r="C2499" s="10"/>
    </row>
    <row r="2500" spans="1:3" x14ac:dyDescent="0.25">
      <c r="A2500" s="10"/>
      <c r="B2500" s="10"/>
      <c r="C2500" s="10"/>
    </row>
    <row r="2501" spans="1:3" x14ac:dyDescent="0.25">
      <c r="A2501" s="10"/>
      <c r="B2501" s="10"/>
      <c r="C2501" s="10"/>
    </row>
    <row r="2502" spans="1:3" x14ac:dyDescent="0.25">
      <c r="A2502" s="10"/>
      <c r="B2502" s="10"/>
      <c r="C2502" s="10"/>
    </row>
    <row r="2503" spans="1:3" x14ac:dyDescent="0.25">
      <c r="A2503" s="10"/>
      <c r="B2503" s="10"/>
      <c r="C2503" s="10"/>
    </row>
    <row r="2504" spans="1:3" x14ac:dyDescent="0.25">
      <c r="A2504" s="10"/>
      <c r="B2504" s="10"/>
      <c r="C2504" s="10"/>
    </row>
    <row r="2505" spans="1:3" x14ac:dyDescent="0.25">
      <c r="A2505" s="10"/>
      <c r="B2505" s="10"/>
      <c r="C2505" s="10"/>
    </row>
    <row r="2506" spans="1:3" x14ac:dyDescent="0.25">
      <c r="A2506" s="10"/>
      <c r="B2506" s="10"/>
      <c r="C2506" s="10"/>
    </row>
    <row r="2507" spans="1:3" x14ac:dyDescent="0.25">
      <c r="A2507" s="10"/>
      <c r="B2507" s="10"/>
      <c r="C2507" s="10"/>
    </row>
    <row r="2508" spans="1:3" x14ac:dyDescent="0.25">
      <c r="A2508" s="10"/>
      <c r="B2508" s="10"/>
      <c r="C2508" s="10"/>
    </row>
    <row r="2509" spans="1:3" x14ac:dyDescent="0.25">
      <c r="A2509" s="10"/>
      <c r="B2509" s="10"/>
      <c r="C2509" s="10"/>
    </row>
    <row r="2510" spans="1:3" x14ac:dyDescent="0.25">
      <c r="A2510" s="10"/>
      <c r="B2510" s="10"/>
      <c r="C2510" s="10"/>
    </row>
    <row r="2511" spans="1:3" x14ac:dyDescent="0.25">
      <c r="A2511" s="10"/>
      <c r="B2511" s="10"/>
      <c r="C2511" s="10"/>
    </row>
    <row r="2512" spans="1:3" x14ac:dyDescent="0.25">
      <c r="A2512" s="10"/>
      <c r="B2512" s="10"/>
      <c r="C2512" s="10"/>
    </row>
    <row r="2513" spans="1:3" x14ac:dyDescent="0.25">
      <c r="A2513" s="10"/>
      <c r="B2513" s="10"/>
      <c r="C2513" s="10"/>
    </row>
    <row r="2514" spans="1:3" x14ac:dyDescent="0.25">
      <c r="A2514" s="10"/>
      <c r="B2514" s="10"/>
      <c r="C2514" s="10"/>
    </row>
    <row r="2515" spans="1:3" x14ac:dyDescent="0.25">
      <c r="A2515" s="10"/>
      <c r="B2515" s="10"/>
      <c r="C2515" s="10"/>
    </row>
    <row r="2516" spans="1:3" x14ac:dyDescent="0.25">
      <c r="A2516" s="10"/>
      <c r="B2516" s="10"/>
      <c r="C2516" s="10"/>
    </row>
    <row r="2517" spans="1:3" x14ac:dyDescent="0.25">
      <c r="A2517" s="10"/>
      <c r="B2517" s="10"/>
      <c r="C2517" s="10"/>
    </row>
    <row r="2518" spans="1:3" x14ac:dyDescent="0.25">
      <c r="A2518" s="10"/>
      <c r="B2518" s="10"/>
      <c r="C2518" s="10"/>
    </row>
    <row r="2519" spans="1:3" x14ac:dyDescent="0.25">
      <c r="A2519" s="10"/>
      <c r="B2519" s="10"/>
      <c r="C2519" s="10"/>
    </row>
    <row r="2520" spans="1:3" x14ac:dyDescent="0.25">
      <c r="A2520" s="10"/>
      <c r="B2520" s="10"/>
      <c r="C2520" s="10"/>
    </row>
    <row r="2521" spans="1:3" x14ac:dyDescent="0.25">
      <c r="A2521" s="10"/>
      <c r="B2521" s="10"/>
      <c r="C2521" s="10"/>
    </row>
    <row r="2522" spans="1:3" x14ac:dyDescent="0.25">
      <c r="A2522" s="10"/>
      <c r="B2522" s="10"/>
      <c r="C2522" s="10"/>
    </row>
    <row r="2523" spans="1:3" x14ac:dyDescent="0.25">
      <c r="A2523" s="10"/>
      <c r="B2523" s="10"/>
      <c r="C2523" s="10"/>
    </row>
    <row r="2524" spans="1:3" x14ac:dyDescent="0.25">
      <c r="A2524" s="10"/>
      <c r="B2524" s="10"/>
      <c r="C2524" s="10"/>
    </row>
    <row r="2525" spans="1:3" x14ac:dyDescent="0.25">
      <c r="A2525" s="10"/>
      <c r="B2525" s="10"/>
      <c r="C2525" s="10"/>
    </row>
    <row r="2526" spans="1:3" x14ac:dyDescent="0.25">
      <c r="A2526" s="10"/>
      <c r="B2526" s="10"/>
      <c r="C2526" s="10"/>
    </row>
    <row r="2527" spans="1:3" x14ac:dyDescent="0.25">
      <c r="A2527" s="10"/>
      <c r="B2527" s="10"/>
      <c r="C2527" s="10"/>
    </row>
    <row r="2528" spans="1:3" x14ac:dyDescent="0.25">
      <c r="A2528" s="10"/>
      <c r="B2528" s="10"/>
      <c r="C2528" s="10"/>
    </row>
    <row r="2529" spans="1:3" x14ac:dyDescent="0.25">
      <c r="A2529" s="10"/>
      <c r="B2529" s="10"/>
      <c r="C2529" s="10"/>
    </row>
    <row r="2530" spans="1:3" x14ac:dyDescent="0.25">
      <c r="A2530" s="10"/>
      <c r="B2530" s="10"/>
      <c r="C2530" s="10"/>
    </row>
    <row r="2531" spans="1:3" x14ac:dyDescent="0.25">
      <c r="A2531" s="10"/>
      <c r="B2531" s="10"/>
      <c r="C2531" s="10"/>
    </row>
    <row r="2532" spans="1:3" x14ac:dyDescent="0.25">
      <c r="A2532" s="10"/>
      <c r="B2532" s="10"/>
      <c r="C2532" s="10"/>
    </row>
    <row r="2533" spans="1:3" x14ac:dyDescent="0.25">
      <c r="A2533" s="10"/>
      <c r="B2533" s="10"/>
      <c r="C2533" s="10"/>
    </row>
    <row r="2534" spans="1:3" x14ac:dyDescent="0.25">
      <c r="A2534" s="10"/>
      <c r="B2534" s="10"/>
      <c r="C2534" s="10"/>
    </row>
    <row r="2535" spans="1:3" x14ac:dyDescent="0.25">
      <c r="A2535" s="10"/>
      <c r="B2535" s="10"/>
      <c r="C2535" s="10"/>
    </row>
    <row r="2536" spans="1:3" x14ac:dyDescent="0.25">
      <c r="A2536" s="10"/>
      <c r="B2536" s="10"/>
      <c r="C2536" s="10"/>
    </row>
    <row r="2537" spans="1:3" x14ac:dyDescent="0.25">
      <c r="A2537" s="10"/>
      <c r="B2537" s="10"/>
      <c r="C2537" s="10"/>
    </row>
    <row r="2538" spans="1:3" x14ac:dyDescent="0.25">
      <c r="A2538" s="10"/>
      <c r="B2538" s="10"/>
      <c r="C2538" s="10"/>
    </row>
    <row r="2539" spans="1:3" x14ac:dyDescent="0.25">
      <c r="A2539" s="10"/>
      <c r="B2539" s="10"/>
      <c r="C2539" s="10"/>
    </row>
    <row r="2540" spans="1:3" x14ac:dyDescent="0.25">
      <c r="A2540" s="10"/>
      <c r="B2540" s="10"/>
      <c r="C2540" s="10"/>
    </row>
    <row r="2541" spans="1:3" x14ac:dyDescent="0.25">
      <c r="A2541" s="10"/>
      <c r="B2541" s="10"/>
      <c r="C2541" s="10"/>
    </row>
    <row r="2542" spans="1:3" x14ac:dyDescent="0.25">
      <c r="A2542" s="10"/>
      <c r="B2542" s="10"/>
      <c r="C2542" s="10"/>
    </row>
    <row r="2543" spans="1:3" x14ac:dyDescent="0.25">
      <c r="A2543" s="10"/>
      <c r="B2543" s="10"/>
      <c r="C2543" s="10"/>
    </row>
    <row r="2544" spans="1:3" x14ac:dyDescent="0.25">
      <c r="A2544" s="10"/>
      <c r="B2544" s="10"/>
      <c r="C2544" s="10"/>
    </row>
    <row r="2545" spans="1:3" x14ac:dyDescent="0.25">
      <c r="A2545" s="10"/>
      <c r="B2545" s="10"/>
      <c r="C2545" s="10"/>
    </row>
    <row r="2546" spans="1:3" x14ac:dyDescent="0.25">
      <c r="A2546" s="10"/>
      <c r="B2546" s="10"/>
      <c r="C2546" s="10"/>
    </row>
    <row r="2547" spans="1:3" x14ac:dyDescent="0.25">
      <c r="A2547" s="10"/>
      <c r="B2547" s="10"/>
      <c r="C2547" s="10"/>
    </row>
    <row r="2548" spans="1:3" x14ac:dyDescent="0.25">
      <c r="A2548" s="10"/>
      <c r="B2548" s="10"/>
      <c r="C2548" s="10"/>
    </row>
    <row r="2549" spans="1:3" x14ac:dyDescent="0.25">
      <c r="A2549" s="10"/>
      <c r="B2549" s="10"/>
      <c r="C2549" s="10"/>
    </row>
    <row r="2550" spans="1:3" x14ac:dyDescent="0.25">
      <c r="A2550" s="10"/>
      <c r="B2550" s="10"/>
      <c r="C2550" s="10"/>
    </row>
    <row r="2551" spans="1:3" x14ac:dyDescent="0.25">
      <c r="A2551" s="10"/>
      <c r="B2551" s="10"/>
      <c r="C2551" s="10"/>
    </row>
    <row r="2552" spans="1:3" x14ac:dyDescent="0.25">
      <c r="A2552" s="10"/>
      <c r="B2552" s="10"/>
      <c r="C2552" s="10"/>
    </row>
    <row r="2553" spans="1:3" x14ac:dyDescent="0.25">
      <c r="A2553" s="10"/>
      <c r="B2553" s="10"/>
      <c r="C2553" s="10"/>
    </row>
    <row r="2554" spans="1:3" x14ac:dyDescent="0.25">
      <c r="A2554" s="10"/>
      <c r="B2554" s="10"/>
      <c r="C2554" s="10"/>
    </row>
    <row r="2555" spans="1:3" x14ac:dyDescent="0.25">
      <c r="A2555" s="10"/>
      <c r="B2555" s="10"/>
      <c r="C2555" s="10"/>
    </row>
    <row r="2556" spans="1:3" x14ac:dyDescent="0.25">
      <c r="A2556" s="10"/>
      <c r="B2556" s="10"/>
      <c r="C2556" s="10"/>
    </row>
    <row r="2557" spans="1:3" x14ac:dyDescent="0.25">
      <c r="A2557" s="10"/>
      <c r="B2557" s="10"/>
      <c r="C2557" s="10"/>
    </row>
    <row r="2558" spans="1:3" x14ac:dyDescent="0.25">
      <c r="A2558" s="10"/>
      <c r="B2558" s="10"/>
      <c r="C2558" s="10"/>
    </row>
    <row r="2559" spans="1:3" x14ac:dyDescent="0.25">
      <c r="A2559" s="10"/>
      <c r="B2559" s="10"/>
      <c r="C2559" s="10"/>
    </row>
    <row r="2560" spans="1:3" x14ac:dyDescent="0.25">
      <c r="A2560" s="10"/>
      <c r="B2560" s="10"/>
      <c r="C2560" s="10"/>
    </row>
    <row r="2561" spans="1:3" x14ac:dyDescent="0.25">
      <c r="A2561" s="10"/>
      <c r="B2561" s="10"/>
      <c r="C2561" s="10"/>
    </row>
    <row r="2562" spans="1:3" x14ac:dyDescent="0.25">
      <c r="A2562" s="10"/>
      <c r="B2562" s="10"/>
      <c r="C2562" s="10"/>
    </row>
    <row r="2563" spans="1:3" x14ac:dyDescent="0.25">
      <c r="A2563" s="10"/>
      <c r="B2563" s="10"/>
      <c r="C2563" s="10"/>
    </row>
    <row r="2564" spans="1:3" x14ac:dyDescent="0.25">
      <c r="A2564" s="10"/>
      <c r="B2564" s="10"/>
      <c r="C2564" s="10"/>
    </row>
    <row r="2565" spans="1:3" x14ac:dyDescent="0.25">
      <c r="A2565" s="10"/>
      <c r="B2565" s="10"/>
      <c r="C2565" s="10"/>
    </row>
    <row r="2566" spans="1:3" x14ac:dyDescent="0.25">
      <c r="A2566" s="10"/>
      <c r="B2566" s="10"/>
      <c r="C2566" s="10"/>
    </row>
    <row r="2567" spans="1:3" x14ac:dyDescent="0.25">
      <c r="A2567" s="10"/>
      <c r="B2567" s="10"/>
      <c r="C2567" s="10"/>
    </row>
    <row r="2568" spans="1:3" x14ac:dyDescent="0.25">
      <c r="A2568" s="10"/>
      <c r="B2568" s="10"/>
      <c r="C2568" s="10"/>
    </row>
    <row r="2569" spans="1:3" x14ac:dyDescent="0.25">
      <c r="A2569" s="10"/>
      <c r="B2569" s="10"/>
      <c r="C2569" s="10"/>
    </row>
    <row r="2570" spans="1:3" x14ac:dyDescent="0.25">
      <c r="A2570" s="10"/>
      <c r="B2570" s="10"/>
      <c r="C2570" s="10"/>
    </row>
    <row r="2571" spans="1:3" x14ac:dyDescent="0.25">
      <c r="A2571" s="10"/>
      <c r="B2571" s="10"/>
      <c r="C2571" s="10"/>
    </row>
    <row r="2572" spans="1:3" x14ac:dyDescent="0.25">
      <c r="A2572" s="10"/>
      <c r="B2572" s="10"/>
      <c r="C2572" s="10"/>
    </row>
    <row r="2573" spans="1:3" x14ac:dyDescent="0.25">
      <c r="A2573" s="10"/>
      <c r="B2573" s="10"/>
      <c r="C2573" s="10"/>
    </row>
    <row r="2574" spans="1:3" x14ac:dyDescent="0.25">
      <c r="A2574" s="10"/>
      <c r="B2574" s="10"/>
      <c r="C2574" s="10"/>
    </row>
    <row r="2575" spans="1:3" x14ac:dyDescent="0.25">
      <c r="A2575" s="10"/>
      <c r="B2575" s="10"/>
      <c r="C2575" s="10"/>
    </row>
    <row r="2576" spans="1:3" x14ac:dyDescent="0.25">
      <c r="A2576" s="10"/>
      <c r="B2576" s="10"/>
      <c r="C2576" s="10"/>
    </row>
    <row r="2577" spans="1:3" x14ac:dyDescent="0.25">
      <c r="A2577" s="10"/>
      <c r="B2577" s="10"/>
      <c r="C2577" s="10"/>
    </row>
    <row r="2578" spans="1:3" x14ac:dyDescent="0.25">
      <c r="A2578" s="10"/>
      <c r="B2578" s="10"/>
      <c r="C2578" s="10"/>
    </row>
    <row r="2579" spans="1:3" x14ac:dyDescent="0.25">
      <c r="A2579" s="10"/>
      <c r="B2579" s="10"/>
      <c r="C2579" s="10"/>
    </row>
    <row r="2580" spans="1:3" x14ac:dyDescent="0.25">
      <c r="A2580" s="10"/>
      <c r="B2580" s="10"/>
      <c r="C2580" s="10"/>
    </row>
    <row r="2581" spans="1:3" x14ac:dyDescent="0.25">
      <c r="A2581" s="10"/>
      <c r="B2581" s="10"/>
      <c r="C2581" s="10"/>
    </row>
    <row r="2582" spans="1:3" x14ac:dyDescent="0.25">
      <c r="A2582" s="10"/>
      <c r="B2582" s="10"/>
      <c r="C2582" s="10"/>
    </row>
    <row r="2583" spans="1:3" x14ac:dyDescent="0.25">
      <c r="A2583" s="10"/>
      <c r="B2583" s="10"/>
      <c r="C2583" s="10"/>
    </row>
    <row r="2584" spans="1:3" x14ac:dyDescent="0.25">
      <c r="A2584" s="10"/>
      <c r="B2584" s="10"/>
      <c r="C2584" s="10"/>
    </row>
    <row r="2585" spans="1:3" x14ac:dyDescent="0.25">
      <c r="A2585" s="10"/>
      <c r="B2585" s="10"/>
      <c r="C2585" s="10"/>
    </row>
    <row r="2586" spans="1:3" x14ac:dyDescent="0.25">
      <c r="A2586" s="10"/>
      <c r="B2586" s="10"/>
      <c r="C2586" s="10"/>
    </row>
    <row r="2587" spans="1:3" x14ac:dyDescent="0.25">
      <c r="A2587" s="10"/>
      <c r="B2587" s="10"/>
      <c r="C2587" s="10"/>
    </row>
    <row r="2588" spans="1:3" x14ac:dyDescent="0.25">
      <c r="A2588" s="10"/>
      <c r="B2588" s="10"/>
      <c r="C2588" s="10"/>
    </row>
    <row r="2589" spans="1:3" x14ac:dyDescent="0.25">
      <c r="A2589" s="10"/>
      <c r="B2589" s="10"/>
      <c r="C2589" s="10"/>
    </row>
    <row r="2590" spans="1:3" x14ac:dyDescent="0.25">
      <c r="A2590" s="10"/>
      <c r="B2590" s="10"/>
      <c r="C2590" s="10"/>
    </row>
    <row r="2591" spans="1:3" x14ac:dyDescent="0.25">
      <c r="A2591" s="10"/>
      <c r="B2591" s="10"/>
      <c r="C2591" s="10"/>
    </row>
    <row r="2592" spans="1:3" x14ac:dyDescent="0.25">
      <c r="A2592" s="10"/>
      <c r="B2592" s="10"/>
      <c r="C2592" s="10"/>
    </row>
    <row r="2593" spans="1:3" x14ac:dyDescent="0.25">
      <c r="A2593" s="10"/>
      <c r="B2593" s="10"/>
      <c r="C2593" s="10"/>
    </row>
    <row r="2594" spans="1:3" x14ac:dyDescent="0.25">
      <c r="A2594" s="10"/>
      <c r="B2594" s="10"/>
      <c r="C2594" s="10"/>
    </row>
    <row r="2595" spans="1:3" x14ac:dyDescent="0.25">
      <c r="A2595" s="10"/>
      <c r="B2595" s="10"/>
      <c r="C2595" s="10"/>
    </row>
    <row r="2596" spans="1:3" x14ac:dyDescent="0.25">
      <c r="A2596" s="10"/>
      <c r="B2596" s="10"/>
      <c r="C2596" s="10"/>
    </row>
    <row r="2597" spans="1:3" x14ac:dyDescent="0.25">
      <c r="A2597" s="10"/>
      <c r="B2597" s="10"/>
      <c r="C2597" s="10"/>
    </row>
    <row r="2598" spans="1:3" x14ac:dyDescent="0.25">
      <c r="A2598" s="10"/>
      <c r="B2598" s="10"/>
      <c r="C2598" s="10"/>
    </row>
    <row r="2599" spans="1:3" x14ac:dyDescent="0.25">
      <c r="A2599" s="10"/>
      <c r="B2599" s="10"/>
      <c r="C2599" s="10"/>
    </row>
    <row r="2600" spans="1:3" x14ac:dyDescent="0.25">
      <c r="A2600" s="10"/>
      <c r="B2600" s="10"/>
      <c r="C2600" s="10"/>
    </row>
    <row r="2601" spans="1:3" x14ac:dyDescent="0.25">
      <c r="A2601" s="10"/>
      <c r="B2601" s="10"/>
      <c r="C2601" s="10"/>
    </row>
    <row r="2602" spans="1:3" x14ac:dyDescent="0.25">
      <c r="A2602" s="10"/>
      <c r="B2602" s="10"/>
      <c r="C2602" s="10"/>
    </row>
    <row r="2603" spans="1:3" x14ac:dyDescent="0.25">
      <c r="A2603" s="10"/>
      <c r="B2603" s="10"/>
      <c r="C2603" s="10"/>
    </row>
    <row r="2604" spans="1:3" x14ac:dyDescent="0.25">
      <c r="A2604" s="10"/>
      <c r="B2604" s="10"/>
      <c r="C2604" s="10"/>
    </row>
    <row r="2605" spans="1:3" x14ac:dyDescent="0.25">
      <c r="A2605" s="10"/>
      <c r="B2605" s="10"/>
      <c r="C2605" s="10"/>
    </row>
    <row r="2606" spans="1:3" x14ac:dyDescent="0.25">
      <c r="A2606" s="10"/>
      <c r="B2606" s="10"/>
      <c r="C2606" s="10"/>
    </row>
    <row r="2607" spans="1:3" x14ac:dyDescent="0.25">
      <c r="A2607" s="10"/>
      <c r="B2607" s="10"/>
      <c r="C2607" s="10"/>
    </row>
    <row r="2608" spans="1:3" x14ac:dyDescent="0.25">
      <c r="A2608" s="10"/>
      <c r="B2608" s="10"/>
      <c r="C2608" s="10"/>
    </row>
    <row r="2609" spans="1:3" x14ac:dyDescent="0.25">
      <c r="A2609" s="10"/>
      <c r="B2609" s="10"/>
      <c r="C2609" s="10"/>
    </row>
    <row r="2610" spans="1:3" x14ac:dyDescent="0.25">
      <c r="A2610" s="10"/>
      <c r="B2610" s="10"/>
      <c r="C2610" s="10"/>
    </row>
    <row r="2611" spans="1:3" x14ac:dyDescent="0.25">
      <c r="A2611" s="10"/>
      <c r="B2611" s="10"/>
      <c r="C2611" s="10"/>
    </row>
    <row r="2612" spans="1:3" x14ac:dyDescent="0.25">
      <c r="A2612" s="10"/>
      <c r="B2612" s="10"/>
      <c r="C2612" s="10"/>
    </row>
    <row r="2613" spans="1:3" x14ac:dyDescent="0.25">
      <c r="A2613" s="10"/>
      <c r="B2613" s="10"/>
      <c r="C2613" s="10"/>
    </row>
    <row r="2614" spans="1:3" x14ac:dyDescent="0.25">
      <c r="A2614" s="10"/>
      <c r="B2614" s="10"/>
      <c r="C2614" s="10"/>
    </row>
    <row r="2615" spans="1:3" x14ac:dyDescent="0.25">
      <c r="A2615" s="10"/>
      <c r="B2615" s="10"/>
      <c r="C2615" s="10"/>
    </row>
    <row r="2616" spans="1:3" x14ac:dyDescent="0.25">
      <c r="A2616" s="10"/>
      <c r="B2616" s="10"/>
      <c r="C2616" s="10"/>
    </row>
    <row r="2617" spans="1:3" x14ac:dyDescent="0.25">
      <c r="A2617" s="10"/>
      <c r="B2617" s="10"/>
      <c r="C2617" s="10"/>
    </row>
    <row r="2618" spans="1:3" x14ac:dyDescent="0.25">
      <c r="A2618" s="10"/>
      <c r="B2618" s="10"/>
      <c r="C2618" s="10"/>
    </row>
    <row r="2619" spans="1:3" x14ac:dyDescent="0.25">
      <c r="A2619" s="10"/>
      <c r="B2619" s="10"/>
      <c r="C2619" s="10"/>
    </row>
    <row r="2620" spans="1:3" x14ac:dyDescent="0.25">
      <c r="A2620" s="10"/>
      <c r="B2620" s="10"/>
      <c r="C2620" s="10"/>
    </row>
    <row r="2621" spans="1:3" x14ac:dyDescent="0.25">
      <c r="A2621" s="10"/>
      <c r="B2621" s="10"/>
      <c r="C2621" s="10"/>
    </row>
    <row r="2622" spans="1:3" x14ac:dyDescent="0.25">
      <c r="A2622" s="10"/>
      <c r="B2622" s="10"/>
      <c r="C2622" s="10"/>
    </row>
    <row r="2623" spans="1:3" x14ac:dyDescent="0.25">
      <c r="A2623" s="10"/>
      <c r="B2623" s="10"/>
      <c r="C2623" s="10"/>
    </row>
    <row r="2624" spans="1:3" x14ac:dyDescent="0.25">
      <c r="A2624" s="10"/>
      <c r="B2624" s="10"/>
      <c r="C2624" s="10"/>
    </row>
    <row r="2625" spans="1:3" x14ac:dyDescent="0.25">
      <c r="A2625" s="10"/>
      <c r="B2625" s="10"/>
      <c r="C2625" s="10"/>
    </row>
    <row r="2626" spans="1:3" x14ac:dyDescent="0.25">
      <c r="A2626" s="10"/>
      <c r="B2626" s="10"/>
      <c r="C2626" s="10"/>
    </row>
    <row r="2627" spans="1:3" x14ac:dyDescent="0.25">
      <c r="A2627" s="10"/>
      <c r="B2627" s="10"/>
      <c r="C2627" s="10"/>
    </row>
    <row r="2628" spans="1:3" x14ac:dyDescent="0.25">
      <c r="A2628" s="10"/>
      <c r="B2628" s="10"/>
      <c r="C2628" s="10"/>
    </row>
    <row r="2629" spans="1:3" x14ac:dyDescent="0.25">
      <c r="A2629" s="10"/>
      <c r="B2629" s="10"/>
      <c r="C2629" s="10"/>
    </row>
    <row r="2630" spans="1:3" x14ac:dyDescent="0.25">
      <c r="A2630" s="10"/>
      <c r="B2630" s="10"/>
      <c r="C2630" s="10"/>
    </row>
    <row r="2631" spans="1:3" x14ac:dyDescent="0.25">
      <c r="A2631" s="10"/>
      <c r="B2631" s="10"/>
      <c r="C2631" s="10"/>
    </row>
    <row r="2632" spans="1:3" x14ac:dyDescent="0.25">
      <c r="A2632" s="10"/>
      <c r="B2632" s="10"/>
      <c r="C2632" s="10"/>
    </row>
    <row r="2633" spans="1:3" x14ac:dyDescent="0.25">
      <c r="A2633" s="10"/>
      <c r="B2633" s="10"/>
      <c r="C2633" s="10"/>
    </row>
    <row r="2634" spans="1:3" x14ac:dyDescent="0.25">
      <c r="A2634" s="10"/>
      <c r="B2634" s="10"/>
      <c r="C2634" s="10"/>
    </row>
    <row r="2635" spans="1:3" x14ac:dyDescent="0.25">
      <c r="A2635" s="10"/>
      <c r="B2635" s="10"/>
      <c r="C2635" s="10"/>
    </row>
    <row r="2636" spans="1:3" x14ac:dyDescent="0.25">
      <c r="A2636" s="10"/>
      <c r="B2636" s="10"/>
      <c r="C2636" s="10"/>
    </row>
    <row r="2637" spans="1:3" x14ac:dyDescent="0.25">
      <c r="A2637" s="10"/>
      <c r="B2637" s="10"/>
      <c r="C2637" s="10"/>
    </row>
    <row r="2638" spans="1:3" x14ac:dyDescent="0.25">
      <c r="A2638" s="10"/>
      <c r="B2638" s="10"/>
      <c r="C2638" s="10"/>
    </row>
    <row r="2639" spans="1:3" x14ac:dyDescent="0.25">
      <c r="A2639" s="10"/>
      <c r="B2639" s="10"/>
      <c r="C2639" s="10"/>
    </row>
    <row r="2640" spans="1:3" x14ac:dyDescent="0.25">
      <c r="A2640" s="10"/>
      <c r="B2640" s="10"/>
      <c r="C2640" s="10"/>
    </row>
    <row r="2641" spans="1:3" x14ac:dyDescent="0.25">
      <c r="A2641" s="10"/>
      <c r="B2641" s="10"/>
      <c r="C2641" s="10"/>
    </row>
    <row r="2642" spans="1:3" x14ac:dyDescent="0.25">
      <c r="A2642" s="10"/>
      <c r="B2642" s="10"/>
      <c r="C2642" s="10"/>
    </row>
    <row r="2643" spans="1:3" x14ac:dyDescent="0.25">
      <c r="A2643" s="10"/>
      <c r="B2643" s="10"/>
      <c r="C2643" s="10"/>
    </row>
    <row r="2644" spans="1:3" x14ac:dyDescent="0.25">
      <c r="A2644" s="10"/>
      <c r="B2644" s="10"/>
      <c r="C2644" s="10"/>
    </row>
    <row r="2645" spans="1:3" x14ac:dyDescent="0.25">
      <c r="A2645" s="10"/>
      <c r="B2645" s="10"/>
      <c r="C2645" s="10"/>
    </row>
    <row r="2646" spans="1:3" x14ac:dyDescent="0.25">
      <c r="A2646" s="10"/>
      <c r="B2646" s="10"/>
      <c r="C2646" s="10"/>
    </row>
    <row r="2647" spans="1:3" x14ac:dyDescent="0.25">
      <c r="A2647" s="10"/>
      <c r="B2647" s="10"/>
      <c r="C2647" s="10"/>
    </row>
    <row r="2648" spans="1:3" x14ac:dyDescent="0.25">
      <c r="A2648" s="10"/>
      <c r="B2648" s="10"/>
      <c r="C2648" s="10"/>
    </row>
    <row r="2649" spans="1:3" x14ac:dyDescent="0.25">
      <c r="A2649" s="10"/>
      <c r="B2649" s="10"/>
      <c r="C2649" s="10"/>
    </row>
    <row r="2650" spans="1:3" x14ac:dyDescent="0.25">
      <c r="A2650" s="10"/>
      <c r="B2650" s="10"/>
      <c r="C2650" s="10"/>
    </row>
    <row r="2651" spans="1:3" x14ac:dyDescent="0.25">
      <c r="A2651" s="10"/>
      <c r="B2651" s="10"/>
      <c r="C2651" s="10"/>
    </row>
    <row r="2652" spans="1:3" x14ac:dyDescent="0.25">
      <c r="A2652" s="10"/>
      <c r="B2652" s="10"/>
      <c r="C2652" s="10"/>
    </row>
    <row r="2653" spans="1:3" x14ac:dyDescent="0.25">
      <c r="A2653" s="10"/>
      <c r="B2653" s="10"/>
      <c r="C2653" s="10"/>
    </row>
    <row r="2654" spans="1:3" x14ac:dyDescent="0.25">
      <c r="A2654" s="10"/>
      <c r="B2654" s="10"/>
      <c r="C2654" s="10"/>
    </row>
    <row r="2655" spans="1:3" x14ac:dyDescent="0.25">
      <c r="A2655" s="10"/>
      <c r="B2655" s="10"/>
      <c r="C2655" s="10"/>
    </row>
    <row r="2656" spans="1:3" x14ac:dyDescent="0.25">
      <c r="A2656" s="10"/>
      <c r="B2656" s="10"/>
      <c r="C2656" s="10"/>
    </row>
    <row r="2657" spans="1:3" x14ac:dyDescent="0.25">
      <c r="A2657" s="10"/>
      <c r="B2657" s="10"/>
      <c r="C2657" s="10"/>
    </row>
    <row r="2658" spans="1:3" x14ac:dyDescent="0.25">
      <c r="A2658" s="10"/>
      <c r="B2658" s="10"/>
      <c r="C2658" s="10"/>
    </row>
    <row r="2659" spans="1:3" x14ac:dyDescent="0.25">
      <c r="A2659" s="10"/>
      <c r="B2659" s="10"/>
      <c r="C2659" s="10"/>
    </row>
    <row r="2660" spans="1:3" x14ac:dyDescent="0.25">
      <c r="A2660" s="10"/>
      <c r="B2660" s="10"/>
      <c r="C2660" s="10"/>
    </row>
    <row r="2661" spans="1:3" x14ac:dyDescent="0.25">
      <c r="A2661" s="10"/>
      <c r="B2661" s="10"/>
      <c r="C2661" s="10"/>
    </row>
    <row r="2662" spans="1:3" x14ac:dyDescent="0.25">
      <c r="A2662" s="10"/>
      <c r="B2662" s="10"/>
      <c r="C2662" s="10"/>
    </row>
    <row r="2663" spans="1:3" x14ac:dyDescent="0.25">
      <c r="A2663" s="10"/>
      <c r="B2663" s="10"/>
      <c r="C2663" s="10"/>
    </row>
    <row r="2664" spans="1:3" x14ac:dyDescent="0.25">
      <c r="A2664" s="10"/>
      <c r="B2664" s="10"/>
      <c r="C2664" s="10"/>
    </row>
    <row r="2665" spans="1:3" x14ac:dyDescent="0.25">
      <c r="A2665" s="10"/>
      <c r="B2665" s="10"/>
      <c r="C2665" s="10"/>
    </row>
    <row r="2666" spans="1:3" x14ac:dyDescent="0.25">
      <c r="A2666" s="10"/>
      <c r="B2666" s="10"/>
      <c r="C2666" s="10"/>
    </row>
    <row r="2667" spans="1:3" x14ac:dyDescent="0.25">
      <c r="A2667" s="10"/>
      <c r="B2667" s="10"/>
      <c r="C2667" s="10"/>
    </row>
    <row r="2668" spans="1:3" x14ac:dyDescent="0.25">
      <c r="A2668" s="10"/>
      <c r="B2668" s="10"/>
      <c r="C2668" s="10"/>
    </row>
    <row r="2669" spans="1:3" x14ac:dyDescent="0.25">
      <c r="A2669" s="10"/>
      <c r="B2669" s="10"/>
      <c r="C2669" s="10"/>
    </row>
    <row r="2670" spans="1:3" x14ac:dyDescent="0.25">
      <c r="A2670" s="10"/>
      <c r="B2670" s="10"/>
      <c r="C2670" s="10"/>
    </row>
    <row r="2671" spans="1:3" x14ac:dyDescent="0.25">
      <c r="A2671" s="10"/>
      <c r="B2671" s="10"/>
      <c r="C2671" s="10"/>
    </row>
    <row r="2672" spans="1:3" x14ac:dyDescent="0.25">
      <c r="A2672" s="10"/>
      <c r="B2672" s="10"/>
      <c r="C2672" s="10"/>
    </row>
    <row r="2673" spans="1:3" x14ac:dyDescent="0.25">
      <c r="A2673" s="10"/>
      <c r="B2673" s="10"/>
      <c r="C2673" s="10"/>
    </row>
    <row r="2674" spans="1:3" x14ac:dyDescent="0.25">
      <c r="A2674" s="10"/>
      <c r="B2674" s="10"/>
      <c r="C2674" s="10"/>
    </row>
    <row r="2675" spans="1:3" x14ac:dyDescent="0.25">
      <c r="A2675" s="10"/>
      <c r="B2675" s="10"/>
      <c r="C2675" s="10"/>
    </row>
    <row r="2676" spans="1:3" x14ac:dyDescent="0.25">
      <c r="A2676" s="10"/>
      <c r="B2676" s="10"/>
      <c r="C2676" s="10"/>
    </row>
    <row r="2677" spans="1:3" x14ac:dyDescent="0.25">
      <c r="A2677" s="10"/>
      <c r="B2677" s="10"/>
      <c r="C2677" s="10"/>
    </row>
    <row r="2678" spans="1:3" x14ac:dyDescent="0.25">
      <c r="A2678" s="10"/>
      <c r="B2678" s="10"/>
      <c r="C2678" s="10"/>
    </row>
    <row r="2679" spans="1:3" x14ac:dyDescent="0.25">
      <c r="A2679" s="10"/>
      <c r="B2679" s="10"/>
      <c r="C2679" s="10"/>
    </row>
    <row r="2680" spans="1:3" x14ac:dyDescent="0.25">
      <c r="A2680" s="10"/>
      <c r="B2680" s="10"/>
      <c r="C2680" s="10"/>
    </row>
    <row r="2681" spans="1:3" x14ac:dyDescent="0.25">
      <c r="A2681" s="10"/>
      <c r="B2681" s="10"/>
      <c r="C2681" s="10"/>
    </row>
    <row r="2682" spans="1:3" x14ac:dyDescent="0.25">
      <c r="A2682" s="10"/>
      <c r="B2682" s="10"/>
      <c r="C2682" s="10"/>
    </row>
    <row r="2683" spans="1:3" x14ac:dyDescent="0.25">
      <c r="A2683" s="10"/>
      <c r="B2683" s="10"/>
      <c r="C2683" s="10"/>
    </row>
    <row r="2684" spans="1:3" x14ac:dyDescent="0.25">
      <c r="A2684" s="10"/>
      <c r="B2684" s="10"/>
      <c r="C2684" s="10"/>
    </row>
    <row r="2685" spans="1:3" x14ac:dyDescent="0.25">
      <c r="A2685" s="10"/>
      <c r="B2685" s="10"/>
      <c r="C2685" s="10"/>
    </row>
    <row r="2686" spans="1:3" x14ac:dyDescent="0.25">
      <c r="A2686" s="10"/>
      <c r="B2686" s="10"/>
      <c r="C2686" s="10"/>
    </row>
    <row r="2687" spans="1:3" x14ac:dyDescent="0.25">
      <c r="A2687" s="10"/>
      <c r="B2687" s="10"/>
      <c r="C2687" s="10"/>
    </row>
    <row r="2688" spans="1:3" x14ac:dyDescent="0.25">
      <c r="A2688" s="10"/>
      <c r="B2688" s="10"/>
      <c r="C2688" s="10"/>
    </row>
    <row r="2689" spans="1:3" x14ac:dyDescent="0.25">
      <c r="A2689" s="10"/>
      <c r="B2689" s="10"/>
      <c r="C2689" s="10"/>
    </row>
    <row r="2690" spans="1:3" x14ac:dyDescent="0.25">
      <c r="A2690" s="10"/>
      <c r="B2690" s="10"/>
      <c r="C2690" s="10"/>
    </row>
    <row r="2691" spans="1:3" x14ac:dyDescent="0.25">
      <c r="A2691" s="10"/>
      <c r="B2691" s="10"/>
      <c r="C2691" s="10"/>
    </row>
    <row r="2692" spans="1:3" x14ac:dyDescent="0.25">
      <c r="A2692" s="10"/>
      <c r="B2692" s="10"/>
      <c r="C2692" s="10"/>
    </row>
    <row r="2693" spans="1:3" x14ac:dyDescent="0.25">
      <c r="A2693" s="10"/>
      <c r="B2693" s="10"/>
      <c r="C2693" s="10"/>
    </row>
    <row r="2694" spans="1:3" x14ac:dyDescent="0.25">
      <c r="A2694" s="10"/>
      <c r="B2694" s="10"/>
      <c r="C2694" s="10"/>
    </row>
    <row r="2695" spans="1:3" x14ac:dyDescent="0.25">
      <c r="A2695" s="10"/>
      <c r="B2695" s="10"/>
      <c r="C2695" s="10"/>
    </row>
    <row r="2696" spans="1:3" x14ac:dyDescent="0.25">
      <c r="A2696" s="10"/>
      <c r="B2696" s="10"/>
      <c r="C2696" s="10"/>
    </row>
    <row r="2697" spans="1:3" x14ac:dyDescent="0.25">
      <c r="A2697" s="10"/>
      <c r="B2697" s="10"/>
      <c r="C2697" s="10"/>
    </row>
    <row r="2698" spans="1:3" x14ac:dyDescent="0.25">
      <c r="A2698" s="10"/>
      <c r="B2698" s="10"/>
      <c r="C2698" s="10"/>
    </row>
    <row r="2699" spans="1:3" x14ac:dyDescent="0.25">
      <c r="A2699" s="10"/>
      <c r="B2699" s="10"/>
      <c r="C2699" s="10"/>
    </row>
    <row r="2700" spans="1:3" x14ac:dyDescent="0.25">
      <c r="A2700" s="10"/>
      <c r="B2700" s="10"/>
      <c r="C2700" s="10"/>
    </row>
    <row r="2701" spans="1:3" x14ac:dyDescent="0.25">
      <c r="A2701" s="10"/>
      <c r="B2701" s="10"/>
      <c r="C2701" s="10"/>
    </row>
    <row r="2702" spans="1:3" x14ac:dyDescent="0.25">
      <c r="A2702" s="10"/>
      <c r="B2702" s="10"/>
      <c r="C2702" s="10"/>
    </row>
    <row r="2703" spans="1:3" x14ac:dyDescent="0.25">
      <c r="A2703" s="10"/>
      <c r="B2703" s="10"/>
      <c r="C2703" s="10"/>
    </row>
    <row r="2704" spans="1:3" x14ac:dyDescent="0.25">
      <c r="A2704" s="10"/>
      <c r="B2704" s="10"/>
      <c r="C2704" s="10"/>
    </row>
    <row r="2705" spans="1:3" x14ac:dyDescent="0.25">
      <c r="A2705" s="10"/>
      <c r="B2705" s="10"/>
      <c r="C2705" s="10"/>
    </row>
    <row r="2706" spans="1:3" x14ac:dyDescent="0.25">
      <c r="A2706" s="10"/>
      <c r="B2706" s="10"/>
      <c r="C2706" s="10"/>
    </row>
    <row r="2707" spans="1:3" x14ac:dyDescent="0.25">
      <c r="A2707" s="10"/>
      <c r="B2707" s="10"/>
      <c r="C2707" s="10"/>
    </row>
    <row r="2708" spans="1:3" x14ac:dyDescent="0.25">
      <c r="A2708" s="10"/>
      <c r="B2708" s="10"/>
      <c r="C2708" s="10"/>
    </row>
    <row r="2709" spans="1:3" x14ac:dyDescent="0.25">
      <c r="A2709" s="10"/>
      <c r="B2709" s="10"/>
      <c r="C2709" s="10"/>
    </row>
    <row r="2710" spans="1:3" x14ac:dyDescent="0.25">
      <c r="A2710" s="10"/>
      <c r="B2710" s="10"/>
      <c r="C2710" s="10"/>
    </row>
    <row r="2711" spans="1:3" x14ac:dyDescent="0.25">
      <c r="A2711" s="10"/>
      <c r="B2711" s="10"/>
      <c r="C2711" s="10"/>
    </row>
    <row r="2712" spans="1:3" x14ac:dyDescent="0.25">
      <c r="A2712" s="10"/>
      <c r="B2712" s="10"/>
      <c r="C2712" s="10"/>
    </row>
    <row r="2713" spans="1:3" x14ac:dyDescent="0.25">
      <c r="A2713" s="10"/>
      <c r="B2713" s="10"/>
      <c r="C2713" s="10"/>
    </row>
    <row r="2714" spans="1:3" x14ac:dyDescent="0.25">
      <c r="A2714" s="10"/>
      <c r="B2714" s="10"/>
      <c r="C2714" s="10"/>
    </row>
    <row r="2715" spans="1:3" x14ac:dyDescent="0.25">
      <c r="A2715" s="10"/>
      <c r="B2715" s="10"/>
      <c r="C2715" s="10"/>
    </row>
    <row r="2716" spans="1:3" x14ac:dyDescent="0.25">
      <c r="A2716" s="10"/>
      <c r="B2716" s="10"/>
      <c r="C2716" s="10"/>
    </row>
    <row r="2717" spans="1:3" x14ac:dyDescent="0.25">
      <c r="A2717" s="10"/>
      <c r="B2717" s="10"/>
      <c r="C2717" s="10"/>
    </row>
    <row r="2718" spans="1:3" x14ac:dyDescent="0.25">
      <c r="A2718" s="10"/>
      <c r="B2718" s="10"/>
      <c r="C2718" s="10"/>
    </row>
    <row r="2719" spans="1:3" x14ac:dyDescent="0.25">
      <c r="A2719" s="10"/>
      <c r="B2719" s="10"/>
      <c r="C2719" s="10"/>
    </row>
    <row r="2720" spans="1:3" x14ac:dyDescent="0.25">
      <c r="A2720" s="10"/>
      <c r="B2720" s="10"/>
      <c r="C2720" s="10"/>
    </row>
    <row r="2721" spans="1:3" x14ac:dyDescent="0.25">
      <c r="A2721" s="10"/>
      <c r="B2721" s="10"/>
      <c r="C2721" s="10"/>
    </row>
    <row r="2722" spans="1:3" x14ac:dyDescent="0.25">
      <c r="A2722" s="10"/>
      <c r="B2722" s="10"/>
      <c r="C2722" s="10"/>
    </row>
    <row r="2723" spans="1:3" x14ac:dyDescent="0.25">
      <c r="A2723" s="10"/>
      <c r="B2723" s="10"/>
      <c r="C2723" s="10"/>
    </row>
    <row r="2724" spans="1:3" x14ac:dyDescent="0.25">
      <c r="A2724" s="10"/>
      <c r="B2724" s="10"/>
      <c r="C2724" s="10"/>
    </row>
    <row r="2725" spans="1:3" x14ac:dyDescent="0.25">
      <c r="A2725" s="10"/>
      <c r="B2725" s="10"/>
      <c r="C2725" s="10"/>
    </row>
    <row r="2726" spans="1:3" x14ac:dyDescent="0.25">
      <c r="A2726" s="10"/>
      <c r="B2726" s="10"/>
      <c r="C2726" s="10"/>
    </row>
    <row r="2727" spans="1:3" x14ac:dyDescent="0.25">
      <c r="A2727" s="10"/>
      <c r="B2727" s="10"/>
      <c r="C2727" s="10"/>
    </row>
    <row r="2728" spans="1:3" x14ac:dyDescent="0.25">
      <c r="A2728" s="10"/>
      <c r="B2728" s="10"/>
      <c r="C2728" s="10"/>
    </row>
    <row r="2729" spans="1:3" x14ac:dyDescent="0.25">
      <c r="A2729" s="10"/>
      <c r="B2729" s="10"/>
      <c r="C2729" s="10"/>
    </row>
    <row r="2730" spans="1:3" x14ac:dyDescent="0.25">
      <c r="A2730" s="10"/>
      <c r="B2730" s="10"/>
      <c r="C2730" s="10"/>
    </row>
    <row r="2731" spans="1:3" x14ac:dyDescent="0.25">
      <c r="A2731" s="10"/>
      <c r="B2731" s="10"/>
      <c r="C2731" s="10"/>
    </row>
    <row r="2732" spans="1:3" x14ac:dyDescent="0.25">
      <c r="A2732" s="10"/>
      <c r="B2732" s="10"/>
      <c r="C2732" s="10"/>
    </row>
    <row r="2733" spans="1:3" x14ac:dyDescent="0.25">
      <c r="A2733" s="10"/>
      <c r="B2733" s="10"/>
      <c r="C2733" s="10"/>
    </row>
    <row r="2734" spans="1:3" x14ac:dyDescent="0.25">
      <c r="A2734" s="10"/>
      <c r="B2734" s="10"/>
      <c r="C2734" s="10"/>
    </row>
    <row r="2735" spans="1:3" x14ac:dyDescent="0.25">
      <c r="A2735" s="10"/>
      <c r="B2735" s="10"/>
      <c r="C2735" s="10"/>
    </row>
    <row r="2736" spans="1:3" x14ac:dyDescent="0.25">
      <c r="A2736" s="10"/>
      <c r="B2736" s="10"/>
      <c r="C2736" s="10"/>
    </row>
    <row r="2737" spans="1:3" x14ac:dyDescent="0.25">
      <c r="A2737" s="10"/>
      <c r="B2737" s="10"/>
      <c r="C2737" s="10"/>
    </row>
    <row r="2738" spans="1:3" x14ac:dyDescent="0.25">
      <c r="A2738" s="10"/>
      <c r="B2738" s="10"/>
      <c r="C2738" s="10"/>
    </row>
    <row r="2739" spans="1:3" x14ac:dyDescent="0.25">
      <c r="A2739" s="10"/>
      <c r="B2739" s="10"/>
      <c r="C2739" s="10"/>
    </row>
    <row r="2740" spans="1:3" x14ac:dyDescent="0.25">
      <c r="A2740" s="10"/>
      <c r="B2740" s="10"/>
      <c r="C2740" s="10"/>
    </row>
    <row r="2741" spans="1:3" x14ac:dyDescent="0.25">
      <c r="A2741" s="10"/>
      <c r="B2741" s="10"/>
      <c r="C2741" s="10"/>
    </row>
    <row r="2742" spans="1:3" x14ac:dyDescent="0.25">
      <c r="A2742" s="10"/>
      <c r="B2742" s="10"/>
      <c r="C2742" s="10"/>
    </row>
    <row r="2743" spans="1:3" x14ac:dyDescent="0.25">
      <c r="A2743" s="10"/>
      <c r="B2743" s="10"/>
      <c r="C2743" s="10"/>
    </row>
    <row r="2744" spans="1:3" x14ac:dyDescent="0.25">
      <c r="A2744" s="10"/>
      <c r="B2744" s="10"/>
      <c r="C2744" s="10"/>
    </row>
    <row r="2745" spans="1:3" x14ac:dyDescent="0.25">
      <c r="A2745" s="10"/>
      <c r="B2745" s="10"/>
      <c r="C2745" s="10"/>
    </row>
    <row r="2746" spans="1:3" x14ac:dyDescent="0.25">
      <c r="A2746" s="10"/>
      <c r="B2746" s="10"/>
      <c r="C2746" s="10"/>
    </row>
    <row r="2747" spans="1:3" x14ac:dyDescent="0.25">
      <c r="A2747" s="10"/>
      <c r="B2747" s="10"/>
      <c r="C2747" s="10"/>
    </row>
    <row r="2748" spans="1:3" x14ac:dyDescent="0.25">
      <c r="A2748" s="10"/>
      <c r="B2748" s="10"/>
      <c r="C2748" s="10"/>
    </row>
    <row r="2749" spans="1:3" x14ac:dyDescent="0.25">
      <c r="A2749" s="10"/>
      <c r="B2749" s="10"/>
      <c r="C2749" s="10"/>
    </row>
    <row r="2750" spans="1:3" x14ac:dyDescent="0.25">
      <c r="A2750" s="10"/>
      <c r="B2750" s="10"/>
      <c r="C2750" s="10"/>
    </row>
    <row r="2751" spans="1:3" x14ac:dyDescent="0.25">
      <c r="A2751" s="10"/>
      <c r="B2751" s="10"/>
      <c r="C2751" s="10"/>
    </row>
    <row r="2752" spans="1:3" x14ac:dyDescent="0.25">
      <c r="A2752" s="10"/>
      <c r="B2752" s="10"/>
      <c r="C2752" s="10"/>
    </row>
    <row r="2753" spans="1:3" x14ac:dyDescent="0.25">
      <c r="A2753" s="10"/>
      <c r="B2753" s="10"/>
      <c r="C2753" s="10"/>
    </row>
    <row r="2754" spans="1:3" x14ac:dyDescent="0.25">
      <c r="A2754" s="10"/>
      <c r="B2754" s="10"/>
      <c r="C2754" s="10"/>
    </row>
    <row r="2755" spans="1:3" x14ac:dyDescent="0.25">
      <c r="A2755" s="10"/>
      <c r="B2755" s="10"/>
      <c r="C2755" s="10"/>
    </row>
    <row r="2756" spans="1:3" x14ac:dyDescent="0.25">
      <c r="A2756" s="10"/>
      <c r="B2756" s="10"/>
      <c r="C2756" s="10"/>
    </row>
    <row r="2757" spans="1:3" x14ac:dyDescent="0.25">
      <c r="A2757" s="10"/>
      <c r="B2757" s="10"/>
      <c r="C2757" s="10"/>
    </row>
    <row r="2758" spans="1:3" x14ac:dyDescent="0.25">
      <c r="A2758" s="10"/>
      <c r="B2758" s="10"/>
      <c r="C2758" s="10"/>
    </row>
    <row r="2759" spans="1:3" x14ac:dyDescent="0.25">
      <c r="A2759" s="10"/>
      <c r="B2759" s="10"/>
      <c r="C2759" s="10"/>
    </row>
    <row r="2760" spans="1:3" x14ac:dyDescent="0.25">
      <c r="A2760" s="10"/>
      <c r="B2760" s="10"/>
      <c r="C2760" s="10"/>
    </row>
    <row r="2761" spans="1:3" x14ac:dyDescent="0.25">
      <c r="A2761" s="10"/>
      <c r="B2761" s="10"/>
      <c r="C2761" s="10"/>
    </row>
    <row r="2762" spans="1:3" x14ac:dyDescent="0.25">
      <c r="A2762" s="10"/>
      <c r="B2762" s="10"/>
      <c r="C2762" s="10"/>
    </row>
    <row r="2763" spans="1:3" x14ac:dyDescent="0.25">
      <c r="A2763" s="10"/>
      <c r="B2763" s="10"/>
      <c r="C2763" s="10"/>
    </row>
    <row r="2764" spans="1:3" x14ac:dyDescent="0.25">
      <c r="A2764" s="10"/>
      <c r="B2764" s="10"/>
      <c r="C2764" s="10"/>
    </row>
    <row r="2765" spans="1:3" x14ac:dyDescent="0.25">
      <c r="A2765" s="10"/>
      <c r="B2765" s="10"/>
      <c r="C2765" s="10"/>
    </row>
    <row r="2766" spans="1:3" x14ac:dyDescent="0.25">
      <c r="A2766" s="10"/>
      <c r="B2766" s="10"/>
      <c r="C2766" s="10"/>
    </row>
    <row r="2767" spans="1:3" x14ac:dyDescent="0.25">
      <c r="A2767" s="10"/>
      <c r="B2767" s="10"/>
      <c r="C2767" s="10"/>
    </row>
    <row r="2768" spans="1:3" x14ac:dyDescent="0.25">
      <c r="A2768" s="10"/>
      <c r="B2768" s="10"/>
      <c r="C2768" s="10"/>
    </row>
    <row r="2769" spans="1:3" x14ac:dyDescent="0.25">
      <c r="A2769" s="10"/>
      <c r="B2769" s="10"/>
      <c r="C2769" s="10"/>
    </row>
    <row r="2770" spans="1:3" x14ac:dyDescent="0.25">
      <c r="A2770" s="10"/>
      <c r="B2770" s="10"/>
      <c r="C2770" s="10"/>
    </row>
    <row r="2771" spans="1:3" x14ac:dyDescent="0.25">
      <c r="A2771" s="10"/>
      <c r="B2771" s="10"/>
      <c r="C2771" s="10"/>
    </row>
    <row r="2772" spans="1:3" x14ac:dyDescent="0.25">
      <c r="A2772" s="10"/>
      <c r="B2772" s="10"/>
      <c r="C2772" s="10"/>
    </row>
    <row r="2773" spans="1:3" x14ac:dyDescent="0.25">
      <c r="A2773" s="10"/>
      <c r="B2773" s="10"/>
      <c r="C2773" s="10"/>
    </row>
    <row r="2774" spans="1:3" x14ac:dyDescent="0.25">
      <c r="A2774" s="10"/>
      <c r="B2774" s="10"/>
      <c r="C2774" s="10"/>
    </row>
    <row r="2775" spans="1:3" x14ac:dyDescent="0.25">
      <c r="A2775" s="10"/>
      <c r="B2775" s="10"/>
      <c r="C2775" s="10"/>
    </row>
    <row r="2776" spans="1:3" x14ac:dyDescent="0.25">
      <c r="A2776" s="10"/>
      <c r="B2776" s="10"/>
      <c r="C2776" s="10"/>
    </row>
    <row r="2777" spans="1:3" x14ac:dyDescent="0.25">
      <c r="A2777" s="10"/>
      <c r="B2777" s="10"/>
      <c r="C2777" s="10"/>
    </row>
    <row r="2778" spans="1:3" x14ac:dyDescent="0.25">
      <c r="A2778" s="10"/>
      <c r="B2778" s="10"/>
      <c r="C2778" s="10"/>
    </row>
    <row r="2779" spans="1:3" x14ac:dyDescent="0.25">
      <c r="A2779" s="10"/>
      <c r="B2779" s="10"/>
      <c r="C2779" s="10"/>
    </row>
    <row r="2780" spans="1:3" x14ac:dyDescent="0.25">
      <c r="A2780" s="10"/>
      <c r="B2780" s="10"/>
      <c r="C2780" s="10"/>
    </row>
    <row r="2781" spans="1:3" x14ac:dyDescent="0.25">
      <c r="A2781" s="10"/>
      <c r="B2781" s="10"/>
      <c r="C2781" s="10"/>
    </row>
    <row r="2782" spans="1:3" x14ac:dyDescent="0.25">
      <c r="A2782" s="10"/>
      <c r="B2782" s="10"/>
      <c r="C2782" s="10"/>
    </row>
    <row r="2783" spans="1:3" x14ac:dyDescent="0.25">
      <c r="A2783" s="10"/>
      <c r="B2783" s="10"/>
      <c r="C2783" s="10"/>
    </row>
    <row r="2784" spans="1:3" x14ac:dyDescent="0.25">
      <c r="A2784" s="10"/>
      <c r="B2784" s="10"/>
      <c r="C2784" s="10"/>
    </row>
    <row r="2785" spans="1:3" x14ac:dyDescent="0.25">
      <c r="A2785" s="10"/>
      <c r="B2785" s="10"/>
      <c r="C2785" s="10"/>
    </row>
    <row r="2786" spans="1:3" x14ac:dyDescent="0.25">
      <c r="A2786" s="10"/>
      <c r="B2786" s="10"/>
      <c r="C2786" s="10"/>
    </row>
    <row r="2787" spans="1:3" x14ac:dyDescent="0.25">
      <c r="A2787" s="10"/>
      <c r="B2787" s="10"/>
      <c r="C2787" s="10"/>
    </row>
    <row r="2788" spans="1:3" x14ac:dyDescent="0.25">
      <c r="A2788" s="10"/>
      <c r="B2788" s="10"/>
      <c r="C2788" s="10"/>
    </row>
    <row r="2789" spans="1:3" x14ac:dyDescent="0.25">
      <c r="A2789" s="10"/>
      <c r="B2789" s="10"/>
      <c r="C2789" s="10"/>
    </row>
    <row r="2790" spans="1:3" x14ac:dyDescent="0.25">
      <c r="A2790" s="10"/>
      <c r="B2790" s="10"/>
      <c r="C2790" s="10"/>
    </row>
    <row r="2791" spans="1:3" x14ac:dyDescent="0.25">
      <c r="A2791" s="10"/>
      <c r="B2791" s="10"/>
      <c r="C2791" s="10"/>
    </row>
    <row r="2792" spans="1:3" x14ac:dyDescent="0.25">
      <c r="A2792" s="10"/>
      <c r="B2792" s="10"/>
      <c r="C2792" s="10"/>
    </row>
    <row r="2793" spans="1:3" x14ac:dyDescent="0.25">
      <c r="A2793" s="10"/>
      <c r="B2793" s="10"/>
      <c r="C2793" s="10"/>
    </row>
    <row r="2794" spans="1:3" x14ac:dyDescent="0.25">
      <c r="A2794" s="10"/>
      <c r="B2794" s="10"/>
      <c r="C2794" s="10"/>
    </row>
    <row r="2795" spans="1:3" x14ac:dyDescent="0.25">
      <c r="A2795" s="10"/>
      <c r="B2795" s="10"/>
      <c r="C2795" s="10"/>
    </row>
    <row r="2796" spans="1:3" x14ac:dyDescent="0.25">
      <c r="A2796" s="10"/>
      <c r="B2796" s="10"/>
      <c r="C2796" s="10"/>
    </row>
    <row r="2797" spans="1:3" x14ac:dyDescent="0.25">
      <c r="A2797" s="10"/>
      <c r="B2797" s="10"/>
      <c r="C2797" s="10"/>
    </row>
    <row r="2798" spans="1:3" x14ac:dyDescent="0.25">
      <c r="A2798" s="10"/>
      <c r="B2798" s="10"/>
      <c r="C2798" s="10"/>
    </row>
    <row r="2799" spans="1:3" x14ac:dyDescent="0.25">
      <c r="A2799" s="10"/>
      <c r="B2799" s="10"/>
      <c r="C2799" s="10"/>
    </row>
    <row r="2800" spans="1:3" x14ac:dyDescent="0.25">
      <c r="A2800" s="10"/>
      <c r="B2800" s="10"/>
      <c r="C2800" s="10"/>
    </row>
    <row r="2801" spans="1:3" x14ac:dyDescent="0.25">
      <c r="A2801" s="10"/>
      <c r="B2801" s="10"/>
      <c r="C2801" s="10"/>
    </row>
    <row r="2802" spans="1:3" x14ac:dyDescent="0.25">
      <c r="A2802" s="10"/>
      <c r="B2802" s="10"/>
      <c r="C2802" s="10"/>
    </row>
    <row r="2803" spans="1:3" x14ac:dyDescent="0.25">
      <c r="A2803" s="10"/>
      <c r="B2803" s="10"/>
      <c r="C2803" s="10"/>
    </row>
    <row r="2804" spans="1:3" x14ac:dyDescent="0.25">
      <c r="A2804" s="10"/>
      <c r="B2804" s="10"/>
      <c r="C2804" s="10"/>
    </row>
    <row r="2805" spans="1:3" x14ac:dyDescent="0.25">
      <c r="A2805" s="10"/>
      <c r="B2805" s="10"/>
      <c r="C2805" s="10"/>
    </row>
    <row r="2806" spans="1:3" x14ac:dyDescent="0.25">
      <c r="A2806" s="10"/>
      <c r="B2806" s="10"/>
      <c r="C2806" s="10"/>
    </row>
    <row r="2807" spans="1:3" x14ac:dyDescent="0.25">
      <c r="A2807" s="10"/>
      <c r="B2807" s="10"/>
      <c r="C2807" s="10"/>
    </row>
    <row r="2808" spans="1:3" x14ac:dyDescent="0.25">
      <c r="A2808" s="10"/>
      <c r="B2808" s="10"/>
      <c r="C2808" s="10"/>
    </row>
    <row r="2809" spans="1:3" x14ac:dyDescent="0.25">
      <c r="A2809" s="10"/>
      <c r="B2809" s="10"/>
      <c r="C2809" s="10"/>
    </row>
    <row r="2810" spans="1:3" x14ac:dyDescent="0.25">
      <c r="A2810" s="10"/>
      <c r="B2810" s="10"/>
      <c r="C2810" s="10"/>
    </row>
    <row r="2811" spans="1:3" x14ac:dyDescent="0.25">
      <c r="A2811" s="10"/>
      <c r="B2811" s="10"/>
      <c r="C2811" s="10"/>
    </row>
    <row r="2812" spans="1:3" x14ac:dyDescent="0.25">
      <c r="A2812" s="10"/>
      <c r="B2812" s="10"/>
      <c r="C2812" s="10"/>
    </row>
    <row r="2813" spans="1:3" x14ac:dyDescent="0.25">
      <c r="A2813" s="10"/>
      <c r="B2813" s="10"/>
      <c r="C2813" s="10"/>
    </row>
    <row r="2814" spans="1:3" x14ac:dyDescent="0.25">
      <c r="A2814" s="10"/>
      <c r="B2814" s="10"/>
      <c r="C2814" s="10"/>
    </row>
    <row r="2815" spans="1:3" x14ac:dyDescent="0.25">
      <c r="A2815" s="10"/>
      <c r="B2815" s="10"/>
      <c r="C2815" s="10"/>
    </row>
    <row r="2816" spans="1:3" x14ac:dyDescent="0.25">
      <c r="A2816" s="10"/>
      <c r="B2816" s="10"/>
      <c r="C2816" s="10"/>
    </row>
    <row r="2817" spans="1:3" x14ac:dyDescent="0.25">
      <c r="A2817" s="10"/>
      <c r="B2817" s="10"/>
      <c r="C2817" s="10"/>
    </row>
    <row r="2818" spans="1:3" x14ac:dyDescent="0.25">
      <c r="A2818" s="10"/>
      <c r="B2818" s="10"/>
      <c r="C2818" s="10"/>
    </row>
    <row r="2819" spans="1:3" x14ac:dyDescent="0.25">
      <c r="A2819" s="10"/>
      <c r="B2819" s="10"/>
      <c r="C2819" s="10"/>
    </row>
    <row r="2820" spans="1:3" x14ac:dyDescent="0.25">
      <c r="A2820" s="10"/>
      <c r="B2820" s="10"/>
      <c r="C2820" s="10"/>
    </row>
    <row r="2821" spans="1:3" x14ac:dyDescent="0.25">
      <c r="A2821" s="10"/>
      <c r="B2821" s="10"/>
      <c r="C2821" s="10"/>
    </row>
    <row r="2822" spans="1:3" x14ac:dyDescent="0.25">
      <c r="A2822" s="10"/>
      <c r="B2822" s="10"/>
      <c r="C2822" s="10"/>
    </row>
    <row r="2823" spans="1:3" x14ac:dyDescent="0.25">
      <c r="A2823" s="10"/>
      <c r="B2823" s="10"/>
      <c r="C2823" s="10"/>
    </row>
    <row r="2824" spans="1:3" x14ac:dyDescent="0.25">
      <c r="A2824" s="10"/>
      <c r="B2824" s="10"/>
      <c r="C2824" s="10"/>
    </row>
    <row r="2825" spans="1:3" x14ac:dyDescent="0.25">
      <c r="A2825" s="10"/>
      <c r="B2825" s="10"/>
      <c r="C2825" s="10"/>
    </row>
    <row r="2826" spans="1:3" x14ac:dyDescent="0.25">
      <c r="A2826" s="10"/>
      <c r="B2826" s="10"/>
      <c r="C2826" s="10"/>
    </row>
    <row r="2827" spans="1:3" x14ac:dyDescent="0.25">
      <c r="A2827" s="10"/>
      <c r="B2827" s="10"/>
      <c r="C2827" s="10"/>
    </row>
    <row r="2828" spans="1:3" x14ac:dyDescent="0.25">
      <c r="A2828" s="10"/>
      <c r="B2828" s="10"/>
      <c r="C2828" s="10"/>
    </row>
    <row r="2829" spans="1:3" x14ac:dyDescent="0.25">
      <c r="A2829" s="10"/>
      <c r="B2829" s="10"/>
      <c r="C2829" s="10"/>
    </row>
    <row r="2830" spans="1:3" x14ac:dyDescent="0.25">
      <c r="A2830" s="10"/>
      <c r="B2830" s="10"/>
      <c r="C2830" s="10"/>
    </row>
    <row r="2831" spans="1:3" x14ac:dyDescent="0.25">
      <c r="A2831" s="10"/>
      <c r="B2831" s="10"/>
      <c r="C2831" s="10"/>
    </row>
    <row r="2832" spans="1:3" x14ac:dyDescent="0.25">
      <c r="A2832" s="10"/>
      <c r="B2832" s="10"/>
      <c r="C2832" s="10"/>
    </row>
    <row r="2833" spans="1:3" x14ac:dyDescent="0.25">
      <c r="A2833" s="10"/>
      <c r="B2833" s="10"/>
      <c r="C2833" s="10"/>
    </row>
    <row r="2834" spans="1:3" x14ac:dyDescent="0.25">
      <c r="A2834" s="10"/>
      <c r="B2834" s="10"/>
      <c r="C2834" s="10"/>
    </row>
    <row r="2835" spans="1:3" x14ac:dyDescent="0.25">
      <c r="A2835" s="10"/>
      <c r="B2835" s="10"/>
      <c r="C2835" s="10"/>
    </row>
    <row r="2836" spans="1:3" x14ac:dyDescent="0.25">
      <c r="A2836" s="10"/>
      <c r="B2836" s="10"/>
      <c r="C2836" s="10"/>
    </row>
    <row r="2837" spans="1:3" x14ac:dyDescent="0.25">
      <c r="A2837" s="10"/>
      <c r="B2837" s="10"/>
      <c r="C2837" s="10"/>
    </row>
    <row r="2838" spans="1:3" x14ac:dyDescent="0.25">
      <c r="A2838" s="10"/>
      <c r="B2838" s="10"/>
      <c r="C2838" s="10"/>
    </row>
    <row r="2839" spans="1:3" x14ac:dyDescent="0.25">
      <c r="A2839" s="10"/>
      <c r="B2839" s="10"/>
      <c r="C2839" s="10"/>
    </row>
    <row r="2840" spans="1:3" x14ac:dyDescent="0.25">
      <c r="A2840" s="10"/>
      <c r="B2840" s="10"/>
      <c r="C2840" s="10"/>
    </row>
    <row r="2841" spans="1:3" x14ac:dyDescent="0.25">
      <c r="A2841" s="10"/>
      <c r="B2841" s="10"/>
      <c r="C2841" s="10"/>
    </row>
    <row r="2842" spans="1:3" x14ac:dyDescent="0.25">
      <c r="A2842" s="10"/>
      <c r="B2842" s="10"/>
      <c r="C2842" s="10"/>
    </row>
    <row r="2843" spans="1:3" x14ac:dyDescent="0.25">
      <c r="A2843" s="10"/>
      <c r="B2843" s="10"/>
      <c r="C2843" s="10"/>
    </row>
    <row r="2844" spans="1:3" x14ac:dyDescent="0.25">
      <c r="A2844" s="10"/>
      <c r="B2844" s="10"/>
      <c r="C2844" s="10"/>
    </row>
    <row r="2845" spans="1:3" x14ac:dyDescent="0.25">
      <c r="A2845" s="10"/>
      <c r="B2845" s="10"/>
      <c r="C2845" s="10"/>
    </row>
    <row r="2846" spans="1:3" x14ac:dyDescent="0.25">
      <c r="A2846" s="10"/>
      <c r="B2846" s="10"/>
      <c r="C2846" s="10"/>
    </row>
    <row r="2847" spans="1:3" x14ac:dyDescent="0.25">
      <c r="A2847" s="10"/>
      <c r="B2847" s="10"/>
      <c r="C2847" s="10"/>
    </row>
    <row r="2848" spans="1:3" x14ac:dyDescent="0.25">
      <c r="A2848" s="10"/>
      <c r="B2848" s="10"/>
      <c r="C2848" s="10"/>
    </row>
    <row r="2849" spans="1:3" x14ac:dyDescent="0.25">
      <c r="A2849" s="10"/>
      <c r="B2849" s="10"/>
      <c r="C2849" s="10"/>
    </row>
    <row r="2850" spans="1:3" x14ac:dyDescent="0.25">
      <c r="A2850" s="10"/>
      <c r="B2850" s="10"/>
      <c r="C2850" s="10"/>
    </row>
    <row r="2851" spans="1:3" x14ac:dyDescent="0.25">
      <c r="A2851" s="10"/>
      <c r="B2851" s="10"/>
      <c r="C2851" s="10"/>
    </row>
    <row r="2852" spans="1:3" x14ac:dyDescent="0.25">
      <c r="A2852" s="10"/>
      <c r="B2852" s="10"/>
      <c r="C2852" s="10"/>
    </row>
    <row r="2853" spans="1:3" x14ac:dyDescent="0.25">
      <c r="A2853" s="10"/>
      <c r="B2853" s="10"/>
      <c r="C2853" s="10"/>
    </row>
    <row r="2854" spans="1:3" x14ac:dyDescent="0.25">
      <c r="A2854" s="10"/>
      <c r="B2854" s="10"/>
      <c r="C2854" s="10"/>
    </row>
    <row r="2855" spans="1:3" x14ac:dyDescent="0.25">
      <c r="A2855" s="10"/>
      <c r="B2855" s="10"/>
      <c r="C2855" s="10"/>
    </row>
    <row r="2856" spans="1:3" x14ac:dyDescent="0.25">
      <c r="A2856" s="10"/>
      <c r="B2856" s="10"/>
      <c r="C2856" s="10"/>
    </row>
    <row r="2857" spans="1:3" x14ac:dyDescent="0.25">
      <c r="A2857" s="10"/>
      <c r="B2857" s="10"/>
      <c r="C2857" s="10"/>
    </row>
    <row r="2858" spans="1:3" x14ac:dyDescent="0.25">
      <c r="A2858" s="10"/>
      <c r="B2858" s="10"/>
      <c r="C2858" s="10"/>
    </row>
    <row r="2859" spans="1:3" x14ac:dyDescent="0.25">
      <c r="A2859" s="10"/>
      <c r="B2859" s="10"/>
      <c r="C2859" s="10"/>
    </row>
    <row r="2860" spans="1:3" x14ac:dyDescent="0.25">
      <c r="A2860" s="10"/>
      <c r="B2860" s="10"/>
      <c r="C2860" s="10"/>
    </row>
    <row r="2861" spans="1:3" x14ac:dyDescent="0.25">
      <c r="A2861" s="10"/>
      <c r="B2861" s="10"/>
      <c r="C2861" s="10"/>
    </row>
    <row r="2862" spans="1:3" x14ac:dyDescent="0.25">
      <c r="A2862" s="10"/>
      <c r="B2862" s="10"/>
      <c r="C2862" s="10"/>
    </row>
    <row r="2863" spans="1:3" x14ac:dyDescent="0.25">
      <c r="A2863" s="10"/>
      <c r="B2863" s="10"/>
      <c r="C2863" s="10"/>
    </row>
    <row r="2864" spans="1:3" x14ac:dyDescent="0.25">
      <c r="A2864" s="10"/>
      <c r="B2864" s="10"/>
      <c r="C2864" s="10"/>
    </row>
    <row r="2865" spans="1:3" x14ac:dyDescent="0.25">
      <c r="A2865" s="10"/>
      <c r="B2865" s="10"/>
      <c r="C2865" s="10"/>
    </row>
    <row r="2866" spans="1:3" x14ac:dyDescent="0.25">
      <c r="A2866" s="10"/>
      <c r="B2866" s="10"/>
      <c r="C2866" s="10"/>
    </row>
    <row r="2867" spans="1:3" x14ac:dyDescent="0.25">
      <c r="A2867" s="10"/>
      <c r="B2867" s="10"/>
      <c r="C2867" s="10"/>
    </row>
    <row r="2868" spans="1:3" x14ac:dyDescent="0.25">
      <c r="A2868" s="10"/>
      <c r="B2868" s="10"/>
      <c r="C2868" s="10"/>
    </row>
    <row r="2869" spans="1:3" x14ac:dyDescent="0.25">
      <c r="A2869" s="10"/>
      <c r="B2869" s="10"/>
      <c r="C2869" s="10"/>
    </row>
    <row r="2870" spans="1:3" x14ac:dyDescent="0.25">
      <c r="A2870" s="10"/>
      <c r="B2870" s="10"/>
      <c r="C2870" s="10"/>
    </row>
    <row r="2871" spans="1:3" x14ac:dyDescent="0.25">
      <c r="A2871" s="10"/>
      <c r="B2871" s="10"/>
      <c r="C2871" s="10"/>
    </row>
    <row r="2872" spans="1:3" x14ac:dyDescent="0.25">
      <c r="A2872" s="10"/>
      <c r="B2872" s="10"/>
      <c r="C2872" s="10"/>
    </row>
    <row r="2873" spans="1:3" x14ac:dyDescent="0.25">
      <c r="A2873" s="10"/>
      <c r="B2873" s="10"/>
      <c r="C2873" s="10"/>
    </row>
    <row r="2874" spans="1:3" x14ac:dyDescent="0.25">
      <c r="A2874" s="10"/>
      <c r="B2874" s="10"/>
      <c r="C2874" s="10"/>
    </row>
    <row r="2875" spans="1:3" x14ac:dyDescent="0.25">
      <c r="A2875" s="10"/>
      <c r="B2875" s="10"/>
      <c r="C2875" s="10"/>
    </row>
    <row r="2876" spans="1:3" x14ac:dyDescent="0.25">
      <c r="A2876" s="10"/>
      <c r="B2876" s="10"/>
      <c r="C2876" s="10"/>
    </row>
    <row r="2877" spans="1:3" x14ac:dyDescent="0.25">
      <c r="A2877" s="10"/>
      <c r="B2877" s="10"/>
      <c r="C2877" s="10"/>
    </row>
    <row r="2878" spans="1:3" x14ac:dyDescent="0.25">
      <c r="A2878" s="10"/>
      <c r="B2878" s="10"/>
      <c r="C2878" s="10"/>
    </row>
    <row r="2879" spans="1:3" x14ac:dyDescent="0.25">
      <c r="A2879" s="10"/>
      <c r="B2879" s="10"/>
      <c r="C2879" s="10"/>
    </row>
    <row r="2880" spans="1:3" x14ac:dyDescent="0.25">
      <c r="A2880" s="10"/>
      <c r="B2880" s="10"/>
      <c r="C2880" s="10"/>
    </row>
    <row r="2881" spans="1:3" x14ac:dyDescent="0.25">
      <c r="A2881" s="10"/>
      <c r="B2881" s="10"/>
      <c r="C2881" s="10"/>
    </row>
    <row r="2882" spans="1:3" x14ac:dyDescent="0.25">
      <c r="A2882" s="10"/>
      <c r="B2882" s="10"/>
      <c r="C2882" s="10"/>
    </row>
    <row r="2883" spans="1:3" x14ac:dyDescent="0.25">
      <c r="A2883" s="10"/>
      <c r="B2883" s="10"/>
      <c r="C2883" s="10"/>
    </row>
    <row r="2884" spans="1:3" x14ac:dyDescent="0.25">
      <c r="A2884" s="10"/>
      <c r="B2884" s="10"/>
      <c r="C2884" s="10"/>
    </row>
    <row r="2885" spans="1:3" x14ac:dyDescent="0.25">
      <c r="A2885" s="10"/>
      <c r="B2885" s="10"/>
      <c r="C2885" s="10"/>
    </row>
    <row r="2886" spans="1:3" x14ac:dyDescent="0.25">
      <c r="A2886" s="10"/>
      <c r="B2886" s="10"/>
      <c r="C2886" s="10"/>
    </row>
    <row r="2887" spans="1:3" x14ac:dyDescent="0.25">
      <c r="A2887" s="10"/>
      <c r="B2887" s="10"/>
      <c r="C2887" s="10"/>
    </row>
    <row r="2888" spans="1:3" x14ac:dyDescent="0.25">
      <c r="A2888" s="10"/>
      <c r="B2888" s="10"/>
      <c r="C2888" s="10"/>
    </row>
    <row r="2889" spans="1:3" x14ac:dyDescent="0.25">
      <c r="A2889" s="10"/>
      <c r="B2889" s="10"/>
      <c r="C2889" s="10"/>
    </row>
    <row r="2890" spans="1:3" x14ac:dyDescent="0.25">
      <c r="A2890" s="10"/>
      <c r="B2890" s="10"/>
      <c r="C2890" s="10"/>
    </row>
    <row r="2891" spans="1:3" x14ac:dyDescent="0.25">
      <c r="A2891" s="10"/>
      <c r="B2891" s="10"/>
      <c r="C2891" s="10"/>
    </row>
    <row r="2892" spans="1:3" x14ac:dyDescent="0.25">
      <c r="A2892" s="10"/>
      <c r="B2892" s="10"/>
      <c r="C2892" s="10"/>
    </row>
    <row r="2893" spans="1:3" x14ac:dyDescent="0.25">
      <c r="A2893" s="10"/>
      <c r="B2893" s="10"/>
      <c r="C2893" s="10"/>
    </row>
    <row r="2894" spans="1:3" x14ac:dyDescent="0.25">
      <c r="A2894" s="10"/>
      <c r="B2894" s="10"/>
      <c r="C2894" s="10"/>
    </row>
    <row r="2895" spans="1:3" x14ac:dyDescent="0.25">
      <c r="A2895" s="10"/>
      <c r="B2895" s="10"/>
      <c r="C2895" s="10"/>
    </row>
    <row r="2896" spans="1:3" x14ac:dyDescent="0.25">
      <c r="A2896" s="10"/>
      <c r="B2896" s="10"/>
      <c r="C2896" s="10"/>
    </row>
    <row r="2897" spans="1:3" x14ac:dyDescent="0.25">
      <c r="A2897" s="10"/>
      <c r="B2897" s="10"/>
      <c r="C2897" s="10"/>
    </row>
    <row r="2898" spans="1:3" x14ac:dyDescent="0.25">
      <c r="A2898" s="10"/>
      <c r="B2898" s="10"/>
      <c r="C2898" s="10"/>
    </row>
    <row r="2899" spans="1:3" x14ac:dyDescent="0.25">
      <c r="A2899" s="10"/>
      <c r="B2899" s="10"/>
      <c r="C2899" s="10"/>
    </row>
    <row r="2900" spans="1:3" x14ac:dyDescent="0.25">
      <c r="A2900" s="10"/>
      <c r="B2900" s="10"/>
      <c r="C2900" s="10"/>
    </row>
    <row r="2901" spans="1:3" x14ac:dyDescent="0.25">
      <c r="A2901" s="10"/>
      <c r="B2901" s="10"/>
      <c r="C2901" s="10"/>
    </row>
    <row r="2902" spans="1:3" x14ac:dyDescent="0.25">
      <c r="A2902" s="10"/>
      <c r="B2902" s="10"/>
      <c r="C2902" s="10"/>
    </row>
    <row r="2903" spans="1:3" x14ac:dyDescent="0.25">
      <c r="A2903" s="10"/>
      <c r="B2903" s="10"/>
      <c r="C2903" s="10"/>
    </row>
    <row r="2904" spans="1:3" x14ac:dyDescent="0.25">
      <c r="A2904" s="10"/>
      <c r="B2904" s="10"/>
      <c r="C2904" s="10"/>
    </row>
    <row r="2905" spans="1:3" x14ac:dyDescent="0.25">
      <c r="A2905" s="10"/>
      <c r="B2905" s="10"/>
      <c r="C2905" s="10"/>
    </row>
    <row r="2906" spans="1:3" x14ac:dyDescent="0.25">
      <c r="A2906" s="10"/>
      <c r="B2906" s="10"/>
      <c r="C2906" s="10"/>
    </row>
    <row r="2907" spans="1:3" x14ac:dyDescent="0.25">
      <c r="A2907" s="10"/>
      <c r="B2907" s="10"/>
      <c r="C2907" s="10"/>
    </row>
    <row r="2908" spans="1:3" x14ac:dyDescent="0.25">
      <c r="A2908" s="10"/>
      <c r="B2908" s="10"/>
      <c r="C2908" s="10"/>
    </row>
    <row r="2909" spans="1:3" x14ac:dyDescent="0.25">
      <c r="A2909" s="10"/>
      <c r="B2909" s="10"/>
      <c r="C2909" s="10"/>
    </row>
    <row r="2910" spans="1:3" x14ac:dyDescent="0.25">
      <c r="A2910" s="10"/>
      <c r="B2910" s="10"/>
      <c r="C2910" s="10"/>
    </row>
    <row r="2911" spans="1:3" x14ac:dyDescent="0.25">
      <c r="A2911" s="10"/>
      <c r="B2911" s="10"/>
      <c r="C2911" s="10"/>
    </row>
    <row r="2912" spans="1:3" x14ac:dyDescent="0.25">
      <c r="A2912" s="10"/>
      <c r="B2912" s="10"/>
      <c r="C2912" s="10"/>
    </row>
    <row r="2913" spans="1:3" x14ac:dyDescent="0.25">
      <c r="A2913" s="10"/>
      <c r="B2913" s="10"/>
      <c r="C2913" s="10"/>
    </row>
    <row r="2914" spans="1:3" x14ac:dyDescent="0.25">
      <c r="A2914" s="10"/>
      <c r="B2914" s="10"/>
      <c r="C2914" s="10"/>
    </row>
    <row r="2915" spans="1:3" x14ac:dyDescent="0.25">
      <c r="A2915" s="10"/>
      <c r="B2915" s="10"/>
      <c r="C2915" s="10"/>
    </row>
    <row r="2916" spans="1:3" x14ac:dyDescent="0.25">
      <c r="A2916" s="10"/>
      <c r="B2916" s="10"/>
      <c r="C2916" s="10"/>
    </row>
    <row r="2917" spans="1:3" x14ac:dyDescent="0.25">
      <c r="A2917" s="10"/>
      <c r="B2917" s="10"/>
      <c r="C2917" s="10"/>
    </row>
    <row r="2918" spans="1:3" x14ac:dyDescent="0.25">
      <c r="A2918" s="10"/>
      <c r="B2918" s="10"/>
      <c r="C2918" s="10"/>
    </row>
    <row r="2919" spans="1:3" x14ac:dyDescent="0.25">
      <c r="A2919" s="10"/>
      <c r="B2919" s="10"/>
      <c r="C2919" s="10"/>
    </row>
    <row r="2920" spans="1:3" x14ac:dyDescent="0.25">
      <c r="A2920" s="10"/>
      <c r="B2920" s="10"/>
      <c r="C2920" s="10"/>
    </row>
    <row r="2921" spans="1:3" x14ac:dyDescent="0.25">
      <c r="A2921" s="10"/>
      <c r="B2921" s="10"/>
      <c r="C2921" s="10"/>
    </row>
    <row r="2922" spans="1:3" x14ac:dyDescent="0.25">
      <c r="A2922" s="10"/>
      <c r="B2922" s="10"/>
      <c r="C2922" s="10"/>
    </row>
    <row r="2923" spans="1:3" x14ac:dyDescent="0.25">
      <c r="A2923" s="10"/>
      <c r="B2923" s="10"/>
      <c r="C2923" s="10"/>
    </row>
    <row r="2924" spans="1:3" x14ac:dyDescent="0.25">
      <c r="A2924" s="10"/>
      <c r="B2924" s="10"/>
      <c r="C2924" s="10"/>
    </row>
    <row r="2925" spans="1:3" x14ac:dyDescent="0.25">
      <c r="A2925" s="10"/>
      <c r="B2925" s="10"/>
      <c r="C2925" s="10"/>
    </row>
    <row r="2926" spans="1:3" x14ac:dyDescent="0.25">
      <c r="A2926" s="10"/>
      <c r="B2926" s="10"/>
      <c r="C2926" s="10"/>
    </row>
    <row r="2927" spans="1:3" x14ac:dyDescent="0.25">
      <c r="A2927" s="10"/>
      <c r="B2927" s="10"/>
      <c r="C2927" s="10"/>
    </row>
    <row r="2928" spans="1:3" x14ac:dyDescent="0.25">
      <c r="A2928" s="10"/>
      <c r="B2928" s="10"/>
      <c r="C2928" s="10"/>
    </row>
    <row r="2929" spans="1:3" x14ac:dyDescent="0.25">
      <c r="A2929" s="10"/>
      <c r="B2929" s="10"/>
      <c r="C2929" s="10"/>
    </row>
    <row r="2930" spans="1:3" x14ac:dyDescent="0.25">
      <c r="A2930" s="10"/>
      <c r="B2930" s="10"/>
      <c r="C2930" s="10"/>
    </row>
    <row r="2931" spans="1:3" x14ac:dyDescent="0.25">
      <c r="A2931" s="10"/>
      <c r="B2931" s="10"/>
      <c r="C2931" s="10"/>
    </row>
    <row r="2932" spans="1:3" x14ac:dyDescent="0.25">
      <c r="A2932" s="10"/>
      <c r="B2932" s="10"/>
      <c r="C2932" s="10"/>
    </row>
    <row r="2933" spans="1:3" x14ac:dyDescent="0.25">
      <c r="A2933" s="10"/>
      <c r="B2933" s="10"/>
      <c r="C2933" s="10"/>
    </row>
    <row r="2934" spans="1:3" x14ac:dyDescent="0.25">
      <c r="A2934" s="10"/>
      <c r="B2934" s="10"/>
      <c r="C2934" s="10"/>
    </row>
    <row r="2935" spans="1:3" x14ac:dyDescent="0.25">
      <c r="A2935" s="10"/>
      <c r="B2935" s="10"/>
      <c r="C2935" s="10"/>
    </row>
    <row r="2936" spans="1:3" x14ac:dyDescent="0.25">
      <c r="A2936" s="10"/>
      <c r="B2936" s="10"/>
      <c r="C2936" s="10"/>
    </row>
    <row r="2937" spans="1:3" x14ac:dyDescent="0.25">
      <c r="A2937" s="10"/>
      <c r="B2937" s="10"/>
      <c r="C2937" s="10"/>
    </row>
    <row r="2938" spans="1:3" x14ac:dyDescent="0.25">
      <c r="A2938" s="10"/>
      <c r="B2938" s="10"/>
      <c r="C2938" s="10"/>
    </row>
    <row r="2939" spans="1:3" x14ac:dyDescent="0.25">
      <c r="A2939" s="10"/>
      <c r="B2939" s="10"/>
      <c r="C2939" s="10"/>
    </row>
    <row r="2940" spans="1:3" x14ac:dyDescent="0.25">
      <c r="A2940" s="10"/>
      <c r="B2940" s="10"/>
      <c r="C2940" s="10"/>
    </row>
    <row r="2941" spans="1:3" x14ac:dyDescent="0.25">
      <c r="A2941" s="10"/>
      <c r="B2941" s="10"/>
      <c r="C2941" s="10"/>
    </row>
    <row r="2942" spans="1:3" x14ac:dyDescent="0.25">
      <c r="A2942" s="10"/>
      <c r="B2942" s="10"/>
      <c r="C2942" s="10"/>
    </row>
    <row r="2943" spans="1:3" x14ac:dyDescent="0.25">
      <c r="A2943" s="10"/>
      <c r="B2943" s="10"/>
      <c r="C2943" s="10"/>
    </row>
    <row r="2944" spans="1:3" x14ac:dyDescent="0.25">
      <c r="A2944" s="10"/>
      <c r="B2944" s="10"/>
      <c r="C2944" s="10"/>
    </row>
    <row r="2945" spans="1:3" x14ac:dyDescent="0.25">
      <c r="A2945" s="10"/>
      <c r="B2945" s="10"/>
      <c r="C2945" s="10"/>
    </row>
    <row r="2946" spans="1:3" x14ac:dyDescent="0.25">
      <c r="A2946" s="10"/>
      <c r="B2946" s="10"/>
      <c r="C2946" s="10"/>
    </row>
    <row r="2947" spans="1:3" x14ac:dyDescent="0.25">
      <c r="A2947" s="10"/>
      <c r="B2947" s="10"/>
      <c r="C2947" s="10"/>
    </row>
    <row r="2948" spans="1:3" x14ac:dyDescent="0.25">
      <c r="A2948" s="10"/>
      <c r="B2948" s="10"/>
      <c r="C2948" s="10"/>
    </row>
    <row r="2949" spans="1:3" x14ac:dyDescent="0.25">
      <c r="A2949" s="10"/>
      <c r="B2949" s="10"/>
      <c r="C2949" s="10"/>
    </row>
    <row r="2950" spans="1:3" x14ac:dyDescent="0.25">
      <c r="A2950" s="10"/>
      <c r="B2950" s="10"/>
      <c r="C2950" s="10"/>
    </row>
    <row r="2951" spans="1:3" x14ac:dyDescent="0.25">
      <c r="A2951" s="10"/>
      <c r="B2951" s="10"/>
      <c r="C2951" s="10"/>
    </row>
    <row r="2952" spans="1:3" x14ac:dyDescent="0.25">
      <c r="A2952" s="10"/>
      <c r="B2952" s="10"/>
      <c r="C2952" s="10"/>
    </row>
    <row r="2953" spans="1:3" x14ac:dyDescent="0.25">
      <c r="A2953" s="10"/>
      <c r="B2953" s="10"/>
      <c r="C2953" s="10"/>
    </row>
    <row r="2954" spans="1:3" x14ac:dyDescent="0.25">
      <c r="A2954" s="10"/>
      <c r="B2954" s="10"/>
      <c r="C2954" s="10"/>
    </row>
    <row r="2955" spans="1:3" x14ac:dyDescent="0.25">
      <c r="A2955" s="10"/>
      <c r="B2955" s="10"/>
      <c r="C2955" s="10"/>
    </row>
    <row r="2956" spans="1:3" x14ac:dyDescent="0.25">
      <c r="A2956" s="10"/>
      <c r="B2956" s="10"/>
      <c r="C2956" s="10"/>
    </row>
    <row r="2957" spans="1:3" x14ac:dyDescent="0.25">
      <c r="A2957" s="10"/>
      <c r="B2957" s="10"/>
      <c r="C2957" s="10"/>
    </row>
    <row r="2958" spans="1:3" x14ac:dyDescent="0.25">
      <c r="A2958" s="10"/>
      <c r="B2958" s="10"/>
      <c r="C2958" s="10"/>
    </row>
    <row r="2959" spans="1:3" x14ac:dyDescent="0.25">
      <c r="A2959" s="10"/>
      <c r="B2959" s="10"/>
      <c r="C2959" s="10"/>
    </row>
    <row r="2960" spans="1:3" x14ac:dyDescent="0.25">
      <c r="A2960" s="10"/>
      <c r="B2960" s="10"/>
      <c r="C2960" s="10"/>
    </row>
    <row r="2961" spans="1:3" x14ac:dyDescent="0.25">
      <c r="A2961" s="10"/>
      <c r="B2961" s="10"/>
      <c r="C2961" s="10"/>
    </row>
    <row r="2962" spans="1:3" x14ac:dyDescent="0.25">
      <c r="A2962" s="10"/>
      <c r="B2962" s="10"/>
      <c r="C2962" s="10"/>
    </row>
    <row r="2963" spans="1:3" x14ac:dyDescent="0.25">
      <c r="A2963" s="10"/>
      <c r="B2963" s="10"/>
      <c r="C2963" s="10"/>
    </row>
    <row r="2964" spans="1:3" x14ac:dyDescent="0.25">
      <c r="A2964" s="10"/>
      <c r="B2964" s="10"/>
      <c r="C2964" s="10"/>
    </row>
    <row r="2965" spans="1:3" x14ac:dyDescent="0.25">
      <c r="A2965" s="10"/>
      <c r="B2965" s="10"/>
      <c r="C2965" s="10"/>
    </row>
    <row r="2966" spans="1:3" x14ac:dyDescent="0.25">
      <c r="A2966" s="10"/>
      <c r="B2966" s="10"/>
      <c r="C2966" s="10"/>
    </row>
    <row r="2967" spans="1:3" x14ac:dyDescent="0.25">
      <c r="A2967" s="10"/>
      <c r="B2967" s="10"/>
      <c r="C2967" s="10"/>
    </row>
    <row r="2968" spans="1:3" x14ac:dyDescent="0.25">
      <c r="A2968" s="10"/>
      <c r="B2968" s="10"/>
      <c r="C2968" s="10"/>
    </row>
    <row r="2969" spans="1:3" x14ac:dyDescent="0.25">
      <c r="A2969" s="10"/>
      <c r="B2969" s="10"/>
      <c r="C2969" s="10"/>
    </row>
    <row r="2970" spans="1:3" x14ac:dyDescent="0.25">
      <c r="A2970" s="10"/>
      <c r="B2970" s="10"/>
      <c r="C2970" s="10"/>
    </row>
    <row r="2971" spans="1:3" x14ac:dyDescent="0.25">
      <c r="A2971" s="10"/>
      <c r="B2971" s="10"/>
      <c r="C2971" s="10"/>
    </row>
    <row r="2972" spans="1:3" x14ac:dyDescent="0.25">
      <c r="A2972" s="10"/>
      <c r="B2972" s="10"/>
      <c r="C2972" s="10"/>
    </row>
    <row r="2973" spans="1:3" x14ac:dyDescent="0.25">
      <c r="A2973" s="10"/>
      <c r="B2973" s="10"/>
      <c r="C2973" s="10"/>
    </row>
    <row r="2974" spans="1:3" x14ac:dyDescent="0.25">
      <c r="A2974" s="10"/>
      <c r="B2974" s="10"/>
      <c r="C2974" s="10"/>
    </row>
    <row r="2975" spans="1:3" x14ac:dyDescent="0.25">
      <c r="A2975" s="10"/>
      <c r="B2975" s="10"/>
      <c r="C2975" s="10"/>
    </row>
    <row r="2976" spans="1:3" x14ac:dyDescent="0.25">
      <c r="A2976" s="10"/>
      <c r="B2976" s="10"/>
      <c r="C2976" s="10"/>
    </row>
    <row r="2977" spans="1:3" x14ac:dyDescent="0.25">
      <c r="A2977" s="10"/>
      <c r="B2977" s="10"/>
      <c r="C2977" s="10"/>
    </row>
    <row r="2978" spans="1:3" x14ac:dyDescent="0.25">
      <c r="A2978" s="10"/>
      <c r="B2978" s="10"/>
      <c r="C2978" s="10"/>
    </row>
    <row r="2979" spans="1:3" x14ac:dyDescent="0.25">
      <c r="A2979" s="10"/>
      <c r="B2979" s="10"/>
      <c r="C2979" s="10"/>
    </row>
    <row r="2980" spans="1:3" x14ac:dyDescent="0.25">
      <c r="A2980" s="10"/>
      <c r="B2980" s="10"/>
      <c r="C2980" s="10"/>
    </row>
    <row r="2981" spans="1:3" x14ac:dyDescent="0.25">
      <c r="A2981" s="10"/>
      <c r="B2981" s="10"/>
      <c r="C2981" s="10"/>
    </row>
    <row r="2982" spans="1:3" x14ac:dyDescent="0.25">
      <c r="A2982" s="10"/>
      <c r="B2982" s="10"/>
      <c r="C2982" s="10"/>
    </row>
    <row r="2983" spans="1:3" x14ac:dyDescent="0.25">
      <c r="A2983" s="10"/>
      <c r="B2983" s="10"/>
      <c r="C2983" s="10"/>
    </row>
    <row r="2984" spans="1:3" x14ac:dyDescent="0.25">
      <c r="A2984" s="10"/>
      <c r="B2984" s="10"/>
      <c r="C2984" s="10"/>
    </row>
    <row r="2985" spans="1:3" x14ac:dyDescent="0.25">
      <c r="A2985" s="10"/>
      <c r="B2985" s="10"/>
      <c r="C2985" s="10"/>
    </row>
    <row r="2986" spans="1:3" x14ac:dyDescent="0.25">
      <c r="A2986" s="10"/>
      <c r="B2986" s="10"/>
      <c r="C2986" s="10"/>
    </row>
    <row r="2987" spans="1:3" x14ac:dyDescent="0.25">
      <c r="A2987" s="10"/>
      <c r="B2987" s="10"/>
      <c r="C2987" s="10"/>
    </row>
    <row r="2988" spans="1:3" x14ac:dyDescent="0.25">
      <c r="A2988" s="10"/>
      <c r="B2988" s="10"/>
      <c r="C2988" s="10"/>
    </row>
    <row r="2989" spans="1:3" x14ac:dyDescent="0.25">
      <c r="A2989" s="10"/>
      <c r="B2989" s="10"/>
      <c r="C2989" s="10"/>
    </row>
    <row r="2990" spans="1:3" x14ac:dyDescent="0.25">
      <c r="A2990" s="10"/>
      <c r="B2990" s="10"/>
      <c r="C2990" s="10"/>
    </row>
    <row r="2991" spans="1:3" x14ac:dyDescent="0.25">
      <c r="A2991" s="10"/>
      <c r="B2991" s="10"/>
      <c r="C2991" s="10"/>
    </row>
    <row r="2992" spans="1:3" x14ac:dyDescent="0.25">
      <c r="A2992" s="10"/>
      <c r="B2992" s="10"/>
      <c r="C2992" s="10"/>
    </row>
    <row r="2993" spans="1:3" x14ac:dyDescent="0.25">
      <c r="A2993" s="10"/>
      <c r="B2993" s="10"/>
      <c r="C2993" s="10"/>
    </row>
    <row r="2994" spans="1:3" x14ac:dyDescent="0.25">
      <c r="A2994" s="10"/>
      <c r="B2994" s="10"/>
      <c r="C2994" s="10"/>
    </row>
    <row r="2995" spans="1:3" x14ac:dyDescent="0.25">
      <c r="A2995" s="10"/>
      <c r="B2995" s="10"/>
      <c r="C2995" s="10"/>
    </row>
    <row r="2996" spans="1:3" x14ac:dyDescent="0.25">
      <c r="A2996" s="10"/>
      <c r="B2996" s="10"/>
      <c r="C2996" s="10"/>
    </row>
    <row r="2997" spans="1:3" x14ac:dyDescent="0.25">
      <c r="A2997" s="10"/>
      <c r="B2997" s="10"/>
      <c r="C2997" s="10"/>
    </row>
    <row r="2998" spans="1:3" x14ac:dyDescent="0.25">
      <c r="A2998" s="10"/>
      <c r="B2998" s="10"/>
      <c r="C2998" s="10"/>
    </row>
    <row r="2999" spans="1:3" x14ac:dyDescent="0.25">
      <c r="A2999" s="10"/>
      <c r="B2999" s="10"/>
      <c r="C2999" s="10"/>
    </row>
    <row r="3000" spans="1:3" x14ac:dyDescent="0.25">
      <c r="A3000" s="10"/>
      <c r="B3000" s="10"/>
      <c r="C3000" s="10"/>
    </row>
    <row r="3001" spans="1:3" x14ac:dyDescent="0.25">
      <c r="A3001" s="10"/>
      <c r="B3001" s="10"/>
      <c r="C3001" s="10"/>
    </row>
    <row r="3002" spans="1:3" x14ac:dyDescent="0.25">
      <c r="A3002" s="10"/>
      <c r="B3002" s="10"/>
      <c r="C3002" s="10"/>
    </row>
    <row r="3003" spans="1:3" x14ac:dyDescent="0.25">
      <c r="A3003" s="10"/>
      <c r="B3003" s="10"/>
      <c r="C3003" s="10"/>
    </row>
    <row r="3004" spans="1:3" x14ac:dyDescent="0.25">
      <c r="A3004" s="10"/>
      <c r="B3004" s="10"/>
      <c r="C3004" s="10"/>
    </row>
    <row r="3005" spans="1:3" x14ac:dyDescent="0.25">
      <c r="A3005" s="10"/>
      <c r="B3005" s="10"/>
      <c r="C3005" s="10"/>
    </row>
    <row r="3006" spans="1:3" x14ac:dyDescent="0.25">
      <c r="A3006" s="10"/>
      <c r="B3006" s="10"/>
      <c r="C3006" s="10"/>
    </row>
    <row r="3007" spans="1:3" x14ac:dyDescent="0.25">
      <c r="A3007" s="10"/>
      <c r="B3007" s="10"/>
      <c r="C3007" s="10"/>
    </row>
    <row r="3008" spans="1:3" x14ac:dyDescent="0.25">
      <c r="A3008" s="10"/>
      <c r="B3008" s="10"/>
      <c r="C3008" s="10"/>
    </row>
    <row r="3009" spans="1:3" x14ac:dyDescent="0.25">
      <c r="A3009" s="10"/>
      <c r="B3009" s="10"/>
      <c r="C3009" s="10"/>
    </row>
    <row r="3010" spans="1:3" x14ac:dyDescent="0.25">
      <c r="A3010" s="10"/>
      <c r="B3010" s="10"/>
      <c r="C3010" s="10"/>
    </row>
    <row r="3011" spans="1:3" x14ac:dyDescent="0.25">
      <c r="A3011" s="10"/>
      <c r="B3011" s="10"/>
      <c r="C3011" s="10"/>
    </row>
    <row r="3012" spans="1:3" x14ac:dyDescent="0.25">
      <c r="A3012" s="10"/>
      <c r="B3012" s="10"/>
      <c r="C3012" s="10"/>
    </row>
    <row r="3013" spans="1:3" x14ac:dyDescent="0.25">
      <c r="A3013" s="10"/>
      <c r="B3013" s="10"/>
      <c r="C3013" s="10"/>
    </row>
    <row r="3014" spans="1:3" x14ac:dyDescent="0.25">
      <c r="A3014" s="10"/>
      <c r="B3014" s="10"/>
      <c r="C3014" s="10"/>
    </row>
    <row r="3015" spans="1:3" x14ac:dyDescent="0.25">
      <c r="A3015" s="10"/>
      <c r="B3015" s="10"/>
      <c r="C3015" s="10"/>
    </row>
    <row r="3016" spans="1:3" x14ac:dyDescent="0.25">
      <c r="A3016" s="10"/>
      <c r="B3016" s="10"/>
      <c r="C3016" s="10"/>
    </row>
    <row r="3017" spans="1:3" x14ac:dyDescent="0.25">
      <c r="A3017" s="10"/>
      <c r="B3017" s="10"/>
      <c r="C3017" s="10"/>
    </row>
    <row r="3018" spans="1:3" x14ac:dyDescent="0.25">
      <c r="A3018" s="10"/>
      <c r="B3018" s="10"/>
      <c r="C3018" s="10"/>
    </row>
    <row r="3019" spans="1:3" x14ac:dyDescent="0.25">
      <c r="A3019" s="10"/>
      <c r="B3019" s="10"/>
      <c r="C3019" s="10"/>
    </row>
    <row r="3020" spans="1:3" x14ac:dyDescent="0.25">
      <c r="A3020" s="10"/>
      <c r="B3020" s="10"/>
      <c r="C3020" s="10"/>
    </row>
    <row r="3021" spans="1:3" x14ac:dyDescent="0.25">
      <c r="A3021" s="10"/>
      <c r="B3021" s="10"/>
      <c r="C3021" s="10"/>
    </row>
    <row r="3022" spans="1:3" x14ac:dyDescent="0.25">
      <c r="A3022" s="10"/>
      <c r="B3022" s="10"/>
      <c r="C3022" s="10"/>
    </row>
    <row r="3023" spans="1:3" x14ac:dyDescent="0.25">
      <c r="A3023" s="10"/>
      <c r="B3023" s="10"/>
      <c r="C3023" s="10"/>
    </row>
    <row r="3024" spans="1:3" x14ac:dyDescent="0.25">
      <c r="A3024" s="10"/>
      <c r="B3024" s="10"/>
      <c r="C3024" s="10"/>
    </row>
    <row r="3025" spans="1:3" x14ac:dyDescent="0.25">
      <c r="A3025" s="10"/>
      <c r="B3025" s="10"/>
      <c r="C3025" s="10"/>
    </row>
    <row r="3026" spans="1:3" x14ac:dyDescent="0.25">
      <c r="A3026" s="10"/>
      <c r="B3026" s="10"/>
      <c r="C3026" s="10"/>
    </row>
    <row r="3027" spans="1:3" x14ac:dyDescent="0.25">
      <c r="A3027" s="10"/>
      <c r="B3027" s="10"/>
      <c r="C3027" s="10"/>
    </row>
    <row r="3028" spans="1:3" x14ac:dyDescent="0.25">
      <c r="A3028" s="10"/>
      <c r="B3028" s="10"/>
      <c r="C3028" s="10"/>
    </row>
    <row r="3029" spans="1:3" x14ac:dyDescent="0.25">
      <c r="A3029" s="10"/>
      <c r="B3029" s="10"/>
      <c r="C3029" s="10"/>
    </row>
    <row r="3030" spans="1:3" x14ac:dyDescent="0.25">
      <c r="A3030" s="10"/>
      <c r="B3030" s="10"/>
      <c r="C3030" s="10"/>
    </row>
    <row r="3031" spans="1:3" x14ac:dyDescent="0.25">
      <c r="A3031" s="10"/>
      <c r="B3031" s="10"/>
      <c r="C3031" s="10"/>
    </row>
    <row r="3032" spans="1:3" x14ac:dyDescent="0.25">
      <c r="A3032" s="10"/>
      <c r="B3032" s="10"/>
      <c r="C3032" s="10"/>
    </row>
    <row r="3033" spans="1:3" x14ac:dyDescent="0.25">
      <c r="A3033" s="10"/>
      <c r="B3033" s="10"/>
      <c r="C3033" s="10"/>
    </row>
    <row r="3034" spans="1:3" x14ac:dyDescent="0.25">
      <c r="A3034" s="10"/>
      <c r="B3034" s="10"/>
      <c r="C3034" s="10"/>
    </row>
    <row r="3035" spans="1:3" x14ac:dyDescent="0.25">
      <c r="A3035" s="10"/>
      <c r="B3035" s="10"/>
      <c r="C3035" s="10"/>
    </row>
    <row r="3036" spans="1:3" x14ac:dyDescent="0.25">
      <c r="A3036" s="10"/>
      <c r="B3036" s="10"/>
      <c r="C3036" s="10"/>
    </row>
    <row r="3037" spans="1:3" x14ac:dyDescent="0.25">
      <c r="A3037" s="10"/>
      <c r="B3037" s="10"/>
      <c r="C3037" s="10"/>
    </row>
    <row r="3038" spans="1:3" x14ac:dyDescent="0.25">
      <c r="A3038" s="10"/>
      <c r="B3038" s="10"/>
      <c r="C3038" s="10"/>
    </row>
    <row r="3039" spans="1:3" x14ac:dyDescent="0.25">
      <c r="A3039" s="10"/>
      <c r="B3039" s="10"/>
      <c r="C3039" s="10"/>
    </row>
    <row r="3040" spans="1:3" x14ac:dyDescent="0.25">
      <c r="A3040" s="10"/>
      <c r="B3040" s="10"/>
      <c r="C3040" s="10"/>
    </row>
    <row r="3041" spans="1:3" x14ac:dyDescent="0.25">
      <c r="A3041" s="10"/>
      <c r="B3041" s="10"/>
      <c r="C3041" s="10"/>
    </row>
    <row r="3042" spans="1:3" x14ac:dyDescent="0.25">
      <c r="A3042" s="10"/>
      <c r="B3042" s="10"/>
      <c r="C3042" s="10"/>
    </row>
    <row r="3043" spans="1:3" x14ac:dyDescent="0.25">
      <c r="A3043" s="10"/>
      <c r="B3043" s="10"/>
      <c r="C3043" s="10"/>
    </row>
    <row r="3044" spans="1:3" x14ac:dyDescent="0.25">
      <c r="A3044" s="10"/>
      <c r="B3044" s="10"/>
      <c r="C3044" s="10"/>
    </row>
    <row r="3045" spans="1:3" x14ac:dyDescent="0.25">
      <c r="A3045" s="10"/>
      <c r="B3045" s="10"/>
      <c r="C3045" s="10"/>
    </row>
    <row r="3046" spans="1:3" x14ac:dyDescent="0.25">
      <c r="A3046" s="10"/>
      <c r="B3046" s="10"/>
      <c r="C3046" s="10"/>
    </row>
    <row r="3047" spans="1:3" x14ac:dyDescent="0.25">
      <c r="A3047" s="10"/>
      <c r="B3047" s="10"/>
      <c r="C3047" s="10"/>
    </row>
    <row r="3048" spans="1:3" x14ac:dyDescent="0.25">
      <c r="A3048" s="10"/>
      <c r="B3048" s="10"/>
      <c r="C3048" s="10"/>
    </row>
    <row r="3049" spans="1:3" x14ac:dyDescent="0.25">
      <c r="A3049" s="10"/>
      <c r="B3049" s="10"/>
      <c r="C3049" s="10"/>
    </row>
    <row r="3050" spans="1:3" x14ac:dyDescent="0.25">
      <c r="A3050" s="10"/>
      <c r="B3050" s="10"/>
      <c r="C3050" s="10"/>
    </row>
    <row r="3051" spans="1:3" x14ac:dyDescent="0.25">
      <c r="A3051" s="10"/>
      <c r="B3051" s="10"/>
      <c r="C3051" s="10"/>
    </row>
    <row r="3052" spans="1:3" x14ac:dyDescent="0.25">
      <c r="A3052" s="10"/>
      <c r="B3052" s="10"/>
      <c r="C3052" s="10"/>
    </row>
    <row r="3053" spans="1:3" x14ac:dyDescent="0.25">
      <c r="A3053" s="10"/>
      <c r="B3053" s="10"/>
      <c r="C3053" s="10"/>
    </row>
    <row r="3054" spans="1:3" x14ac:dyDescent="0.25">
      <c r="A3054" s="10"/>
      <c r="B3054" s="10"/>
      <c r="C3054" s="10"/>
    </row>
    <row r="3055" spans="1:3" x14ac:dyDescent="0.25">
      <c r="A3055" s="10"/>
      <c r="B3055" s="10"/>
      <c r="C3055" s="10"/>
    </row>
    <row r="3056" spans="1:3" x14ac:dyDescent="0.25">
      <c r="A3056" s="10"/>
      <c r="B3056" s="10"/>
      <c r="C3056" s="10"/>
    </row>
    <row r="3057" spans="1:3" x14ac:dyDescent="0.25">
      <c r="A3057" s="10"/>
      <c r="B3057" s="10"/>
      <c r="C3057" s="10"/>
    </row>
    <row r="3058" spans="1:3" x14ac:dyDescent="0.25">
      <c r="A3058" s="10"/>
      <c r="B3058" s="10"/>
      <c r="C3058" s="10"/>
    </row>
    <row r="3059" spans="1:3" x14ac:dyDescent="0.25">
      <c r="A3059" s="10"/>
      <c r="B3059" s="10"/>
      <c r="C3059" s="10"/>
    </row>
    <row r="3060" spans="1:3" x14ac:dyDescent="0.25">
      <c r="A3060" s="10"/>
      <c r="B3060" s="10"/>
      <c r="C3060" s="10"/>
    </row>
    <row r="3061" spans="1:3" x14ac:dyDescent="0.25">
      <c r="A3061" s="10"/>
      <c r="B3061" s="10"/>
      <c r="C3061" s="10"/>
    </row>
    <row r="3062" spans="1:3" x14ac:dyDescent="0.25">
      <c r="A3062" s="10"/>
      <c r="B3062" s="10"/>
      <c r="C3062" s="10"/>
    </row>
    <row r="3063" spans="1:3" x14ac:dyDescent="0.25">
      <c r="A3063" s="10"/>
      <c r="B3063" s="10"/>
      <c r="C3063" s="10"/>
    </row>
    <row r="3064" spans="1:3" x14ac:dyDescent="0.25">
      <c r="A3064" s="10"/>
      <c r="B3064" s="10"/>
      <c r="C3064" s="10"/>
    </row>
    <row r="3065" spans="1:3" x14ac:dyDescent="0.25">
      <c r="A3065" s="10"/>
      <c r="B3065" s="10"/>
      <c r="C3065" s="10"/>
    </row>
    <row r="3066" spans="1:3" x14ac:dyDescent="0.25">
      <c r="A3066" s="10"/>
      <c r="B3066" s="10"/>
      <c r="C3066" s="10"/>
    </row>
    <row r="3067" spans="1:3" x14ac:dyDescent="0.25">
      <c r="A3067" s="10"/>
      <c r="B3067" s="10"/>
      <c r="C3067" s="10"/>
    </row>
    <row r="3068" spans="1:3" x14ac:dyDescent="0.25">
      <c r="A3068" s="10"/>
      <c r="B3068" s="10"/>
      <c r="C3068" s="10"/>
    </row>
    <row r="3069" spans="1:3" x14ac:dyDescent="0.25">
      <c r="A3069" s="10"/>
      <c r="B3069" s="10"/>
      <c r="C3069" s="10"/>
    </row>
    <row r="3070" spans="1:3" x14ac:dyDescent="0.25">
      <c r="A3070" s="10"/>
      <c r="B3070" s="10"/>
      <c r="C3070" s="10"/>
    </row>
    <row r="3071" spans="1:3" x14ac:dyDescent="0.25">
      <c r="A3071" s="10"/>
      <c r="B3071" s="10"/>
      <c r="C3071" s="10"/>
    </row>
    <row r="3072" spans="1:3" x14ac:dyDescent="0.25">
      <c r="A3072" s="10"/>
      <c r="B3072" s="10"/>
      <c r="C3072" s="10"/>
    </row>
    <row r="3073" spans="1:3" x14ac:dyDescent="0.25">
      <c r="A3073" s="10"/>
      <c r="B3073" s="10"/>
      <c r="C3073" s="10"/>
    </row>
    <row r="3074" spans="1:3" x14ac:dyDescent="0.25">
      <c r="A3074" s="10"/>
      <c r="B3074" s="10"/>
      <c r="C3074" s="10"/>
    </row>
    <row r="3075" spans="1:3" x14ac:dyDescent="0.25">
      <c r="A3075" s="10"/>
      <c r="B3075" s="10"/>
      <c r="C3075" s="10"/>
    </row>
    <row r="3076" spans="1:3" x14ac:dyDescent="0.25">
      <c r="A3076" s="10"/>
      <c r="B3076" s="10"/>
      <c r="C3076" s="10"/>
    </row>
    <row r="3077" spans="1:3" x14ac:dyDescent="0.25">
      <c r="A3077" s="10"/>
      <c r="B3077" s="10"/>
      <c r="C3077" s="10"/>
    </row>
    <row r="3078" spans="1:3" x14ac:dyDescent="0.25">
      <c r="A3078" s="10"/>
      <c r="B3078" s="10"/>
      <c r="C3078" s="10"/>
    </row>
    <row r="3079" spans="1:3" x14ac:dyDescent="0.25">
      <c r="A3079" s="10"/>
      <c r="B3079" s="10"/>
      <c r="C3079" s="10"/>
    </row>
    <row r="3080" spans="1:3" x14ac:dyDescent="0.25">
      <c r="A3080" s="10"/>
      <c r="B3080" s="10"/>
      <c r="C3080" s="10"/>
    </row>
    <row r="3081" spans="1:3" x14ac:dyDescent="0.25">
      <c r="A3081" s="10"/>
      <c r="B3081" s="10"/>
      <c r="C3081" s="10"/>
    </row>
    <row r="3082" spans="1:3" x14ac:dyDescent="0.25">
      <c r="A3082" s="10"/>
      <c r="B3082" s="10"/>
      <c r="C3082" s="10"/>
    </row>
    <row r="3083" spans="1:3" x14ac:dyDescent="0.25">
      <c r="A3083" s="10"/>
      <c r="B3083" s="10"/>
      <c r="C3083" s="10"/>
    </row>
    <row r="3084" spans="1:3" x14ac:dyDescent="0.25">
      <c r="A3084" s="10"/>
      <c r="B3084" s="10"/>
      <c r="C3084" s="10"/>
    </row>
    <row r="3085" spans="1:3" x14ac:dyDescent="0.25">
      <c r="A3085" s="10"/>
      <c r="B3085" s="10"/>
      <c r="C3085" s="10"/>
    </row>
    <row r="3086" spans="1:3" x14ac:dyDescent="0.25">
      <c r="A3086" s="10"/>
      <c r="B3086" s="10"/>
      <c r="C3086" s="10"/>
    </row>
    <row r="3087" spans="1:3" x14ac:dyDescent="0.25">
      <c r="A3087" s="10"/>
      <c r="B3087" s="10"/>
      <c r="C3087" s="10"/>
    </row>
    <row r="3088" spans="1:3" x14ac:dyDescent="0.25">
      <c r="A3088" s="10"/>
      <c r="B3088" s="10"/>
      <c r="C3088" s="10"/>
    </row>
    <row r="3089" spans="1:3" x14ac:dyDescent="0.25">
      <c r="A3089" s="10"/>
      <c r="B3089" s="10"/>
      <c r="C3089" s="10"/>
    </row>
    <row r="3090" spans="1:3" x14ac:dyDescent="0.25">
      <c r="A3090" s="10"/>
      <c r="B3090" s="10"/>
      <c r="C3090" s="10"/>
    </row>
    <row r="3091" spans="1:3" x14ac:dyDescent="0.25">
      <c r="A3091" s="10"/>
      <c r="B3091" s="10"/>
      <c r="C3091" s="10"/>
    </row>
    <row r="3092" spans="1:3" x14ac:dyDescent="0.25">
      <c r="A3092" s="10"/>
      <c r="B3092" s="10"/>
      <c r="C3092" s="10"/>
    </row>
    <row r="3093" spans="1:3" x14ac:dyDescent="0.25">
      <c r="A3093" s="10"/>
      <c r="B3093" s="10"/>
      <c r="C3093" s="10"/>
    </row>
    <row r="3094" spans="1:3" x14ac:dyDescent="0.25">
      <c r="A3094" s="10"/>
      <c r="B3094" s="10"/>
      <c r="C3094" s="10"/>
    </row>
    <row r="3095" spans="1:3" x14ac:dyDescent="0.25">
      <c r="A3095" s="10"/>
      <c r="B3095" s="10"/>
      <c r="C3095" s="10"/>
    </row>
    <row r="3096" spans="1:3" x14ac:dyDescent="0.25">
      <c r="A3096" s="10"/>
      <c r="B3096" s="10"/>
      <c r="C3096" s="10"/>
    </row>
    <row r="3097" spans="1:3" x14ac:dyDescent="0.25">
      <c r="A3097" s="10"/>
      <c r="B3097" s="10"/>
      <c r="C3097" s="10"/>
    </row>
    <row r="3098" spans="1:3" x14ac:dyDescent="0.25">
      <c r="A3098" s="10"/>
      <c r="B3098" s="10"/>
      <c r="C3098" s="10"/>
    </row>
    <row r="3099" spans="1:3" x14ac:dyDescent="0.25">
      <c r="A3099" s="10"/>
      <c r="B3099" s="10"/>
      <c r="C3099" s="10"/>
    </row>
    <row r="3100" spans="1:3" x14ac:dyDescent="0.25">
      <c r="A3100" s="10"/>
      <c r="B3100" s="10"/>
      <c r="C3100" s="10"/>
    </row>
    <row r="3101" spans="1:3" x14ac:dyDescent="0.25">
      <c r="A3101" s="10"/>
      <c r="B3101" s="10"/>
      <c r="C3101" s="10"/>
    </row>
    <row r="3102" spans="1:3" x14ac:dyDescent="0.25">
      <c r="A3102" s="10"/>
      <c r="B3102" s="10"/>
      <c r="C3102" s="10"/>
    </row>
    <row r="3103" spans="1:3" x14ac:dyDescent="0.25">
      <c r="A3103" s="10"/>
      <c r="B3103" s="10"/>
      <c r="C3103" s="10"/>
    </row>
    <row r="3104" spans="1:3" x14ac:dyDescent="0.25">
      <c r="A3104" s="10"/>
      <c r="B3104" s="10"/>
      <c r="C3104" s="10"/>
    </row>
    <row r="3105" spans="1:3" x14ac:dyDescent="0.25">
      <c r="A3105" s="10"/>
      <c r="B3105" s="10"/>
      <c r="C3105" s="10"/>
    </row>
    <row r="3106" spans="1:3" x14ac:dyDescent="0.25">
      <c r="A3106" s="10"/>
      <c r="B3106" s="10"/>
      <c r="C3106" s="10"/>
    </row>
    <row r="3107" spans="1:3" x14ac:dyDescent="0.25">
      <c r="A3107" s="10"/>
      <c r="B3107" s="10"/>
      <c r="C3107" s="10"/>
    </row>
    <row r="3108" spans="1:3" x14ac:dyDescent="0.25">
      <c r="A3108" s="10"/>
      <c r="B3108" s="10"/>
      <c r="C3108" s="10"/>
    </row>
    <row r="3109" spans="1:3" x14ac:dyDescent="0.25">
      <c r="A3109" s="10"/>
      <c r="B3109" s="10"/>
      <c r="C3109" s="10"/>
    </row>
    <row r="3110" spans="1:3" x14ac:dyDescent="0.25">
      <c r="A3110" s="10"/>
      <c r="B3110" s="10"/>
      <c r="C3110" s="10"/>
    </row>
    <row r="3111" spans="1:3" x14ac:dyDescent="0.25">
      <c r="A3111" s="10"/>
      <c r="B3111" s="10"/>
      <c r="C3111" s="10"/>
    </row>
    <row r="3112" spans="1:3" x14ac:dyDescent="0.25">
      <c r="A3112" s="10"/>
      <c r="B3112" s="10"/>
      <c r="C3112" s="10"/>
    </row>
    <row r="3113" spans="1:3" x14ac:dyDescent="0.25">
      <c r="A3113" s="10"/>
      <c r="B3113" s="10"/>
      <c r="C3113" s="10"/>
    </row>
    <row r="3114" spans="1:3" x14ac:dyDescent="0.25">
      <c r="A3114" s="10"/>
      <c r="B3114" s="10"/>
      <c r="C3114" s="10"/>
    </row>
    <row r="3115" spans="1:3" x14ac:dyDescent="0.25">
      <c r="A3115" s="10"/>
      <c r="B3115" s="10"/>
      <c r="C3115" s="10"/>
    </row>
    <row r="3116" spans="1:3" x14ac:dyDescent="0.25">
      <c r="A3116" s="10"/>
      <c r="B3116" s="10"/>
      <c r="C3116" s="10"/>
    </row>
    <row r="3117" spans="1:3" x14ac:dyDescent="0.25">
      <c r="A3117" s="10"/>
      <c r="B3117" s="10"/>
      <c r="C3117" s="10"/>
    </row>
    <row r="3118" spans="1:3" x14ac:dyDescent="0.25">
      <c r="A3118" s="10"/>
      <c r="B3118" s="10"/>
      <c r="C3118" s="10"/>
    </row>
    <row r="3119" spans="1:3" x14ac:dyDescent="0.25">
      <c r="A3119" s="10"/>
      <c r="B3119" s="10"/>
      <c r="C3119" s="10"/>
    </row>
    <row r="3120" spans="1:3" x14ac:dyDescent="0.25">
      <c r="A3120" s="10"/>
      <c r="B3120" s="10"/>
      <c r="C3120" s="10"/>
    </row>
    <row r="3121" spans="1:3" x14ac:dyDescent="0.25">
      <c r="A3121" s="10"/>
      <c r="B3121" s="10"/>
      <c r="C3121" s="10"/>
    </row>
    <row r="3122" spans="1:3" x14ac:dyDescent="0.25">
      <c r="A3122" s="10"/>
      <c r="B3122" s="10"/>
      <c r="C3122" s="10"/>
    </row>
    <row r="3123" spans="1:3" x14ac:dyDescent="0.25">
      <c r="A3123" s="10"/>
      <c r="B3123" s="10"/>
      <c r="C3123" s="10"/>
    </row>
    <row r="3124" spans="1:3" x14ac:dyDescent="0.25">
      <c r="A3124" s="10"/>
      <c r="B3124" s="10"/>
      <c r="C3124" s="10"/>
    </row>
    <row r="3125" spans="1:3" x14ac:dyDescent="0.25">
      <c r="A3125" s="10"/>
      <c r="B3125" s="10"/>
      <c r="C3125" s="10"/>
    </row>
    <row r="3126" spans="1:3" x14ac:dyDescent="0.25">
      <c r="A3126" s="10"/>
      <c r="B3126" s="10"/>
      <c r="C3126" s="10"/>
    </row>
    <row r="3127" spans="1:3" x14ac:dyDescent="0.25">
      <c r="A3127" s="10"/>
      <c r="B3127" s="10"/>
      <c r="C3127" s="10"/>
    </row>
    <row r="3128" spans="1:3" x14ac:dyDescent="0.25">
      <c r="A3128" s="10"/>
      <c r="B3128" s="10"/>
      <c r="C3128" s="10"/>
    </row>
    <row r="3129" spans="1:3" x14ac:dyDescent="0.25">
      <c r="A3129" s="10"/>
      <c r="B3129" s="10"/>
      <c r="C3129" s="10"/>
    </row>
    <row r="3130" spans="1:3" x14ac:dyDescent="0.25">
      <c r="A3130" s="10"/>
      <c r="B3130" s="10"/>
      <c r="C3130" s="10"/>
    </row>
    <row r="3131" spans="1:3" x14ac:dyDescent="0.25">
      <c r="A3131" s="10"/>
      <c r="B3131" s="10"/>
      <c r="C3131" s="10"/>
    </row>
    <row r="3132" spans="1:3" x14ac:dyDescent="0.25">
      <c r="A3132" s="10"/>
      <c r="B3132" s="10"/>
      <c r="C3132" s="10"/>
    </row>
    <row r="3133" spans="1:3" x14ac:dyDescent="0.25">
      <c r="A3133" s="10"/>
      <c r="B3133" s="10"/>
      <c r="C3133" s="10"/>
    </row>
    <row r="3134" spans="1:3" x14ac:dyDescent="0.25">
      <c r="A3134" s="10"/>
      <c r="B3134" s="10"/>
      <c r="C3134" s="10"/>
    </row>
    <row r="3135" spans="1:3" x14ac:dyDescent="0.25">
      <c r="A3135" s="10"/>
      <c r="B3135" s="10"/>
      <c r="C3135" s="10"/>
    </row>
    <row r="3136" spans="1:3" x14ac:dyDescent="0.25">
      <c r="A3136" s="10"/>
      <c r="B3136" s="10"/>
      <c r="C3136" s="10"/>
    </row>
    <row r="3137" spans="1:3" x14ac:dyDescent="0.25">
      <c r="A3137" s="10"/>
      <c r="B3137" s="10"/>
      <c r="C3137" s="10"/>
    </row>
    <row r="3138" spans="1:3" x14ac:dyDescent="0.25">
      <c r="A3138" s="10"/>
      <c r="B3138" s="10"/>
      <c r="C3138" s="10"/>
    </row>
    <row r="3139" spans="1:3" x14ac:dyDescent="0.25">
      <c r="A3139" s="10"/>
      <c r="B3139" s="10"/>
      <c r="C3139" s="10"/>
    </row>
    <row r="3140" spans="1:3" x14ac:dyDescent="0.25">
      <c r="A3140" s="10"/>
      <c r="B3140" s="10"/>
      <c r="C3140" s="10"/>
    </row>
    <row r="3141" spans="1:3" x14ac:dyDescent="0.25">
      <c r="A3141" s="10"/>
      <c r="B3141" s="10"/>
      <c r="C3141" s="10"/>
    </row>
    <row r="3142" spans="1:3" x14ac:dyDescent="0.25">
      <c r="A3142" s="10"/>
      <c r="B3142" s="10"/>
      <c r="C3142" s="10"/>
    </row>
    <row r="3143" spans="1:3" x14ac:dyDescent="0.25">
      <c r="A3143" s="10"/>
      <c r="B3143" s="10"/>
      <c r="C3143" s="10"/>
    </row>
    <row r="3144" spans="1:3" x14ac:dyDescent="0.25">
      <c r="A3144" s="10"/>
      <c r="B3144" s="10"/>
      <c r="C3144" s="10"/>
    </row>
    <row r="3145" spans="1:3" x14ac:dyDescent="0.25">
      <c r="A3145" s="10"/>
      <c r="B3145" s="10"/>
      <c r="C3145" s="10"/>
    </row>
    <row r="3146" spans="1:3" x14ac:dyDescent="0.25">
      <c r="A3146" s="10"/>
      <c r="B3146" s="10"/>
      <c r="C3146" s="10"/>
    </row>
    <row r="3147" spans="1:3" x14ac:dyDescent="0.25">
      <c r="A3147" s="10"/>
      <c r="B3147" s="10"/>
      <c r="C3147" s="10"/>
    </row>
    <row r="3148" spans="1:3" x14ac:dyDescent="0.25">
      <c r="A3148" s="10"/>
      <c r="B3148" s="10"/>
      <c r="C3148" s="10"/>
    </row>
    <row r="3149" spans="1:3" x14ac:dyDescent="0.25">
      <c r="A3149" s="10"/>
      <c r="B3149" s="10"/>
      <c r="C3149" s="10"/>
    </row>
    <row r="3150" spans="1:3" x14ac:dyDescent="0.25">
      <c r="A3150" s="10"/>
      <c r="B3150" s="10"/>
      <c r="C3150" s="10"/>
    </row>
    <row r="3151" spans="1:3" x14ac:dyDescent="0.25">
      <c r="A3151" s="10"/>
      <c r="B3151" s="10"/>
      <c r="C3151" s="10"/>
    </row>
    <row r="3152" spans="1:3" x14ac:dyDescent="0.25">
      <c r="A3152" s="10"/>
      <c r="B3152" s="10"/>
      <c r="C3152" s="10"/>
    </row>
    <row r="3153" spans="1:3" x14ac:dyDescent="0.25">
      <c r="A3153" s="10"/>
      <c r="B3153" s="10"/>
      <c r="C3153" s="10"/>
    </row>
    <row r="3154" spans="1:3" x14ac:dyDescent="0.25">
      <c r="A3154" s="10"/>
      <c r="B3154" s="10"/>
      <c r="C3154" s="10"/>
    </row>
    <row r="3155" spans="1:3" x14ac:dyDescent="0.25">
      <c r="A3155" s="10"/>
      <c r="B3155" s="10"/>
      <c r="C3155" s="10"/>
    </row>
    <row r="3156" spans="1:3" x14ac:dyDescent="0.25">
      <c r="A3156" s="10"/>
      <c r="B3156" s="10"/>
      <c r="C3156" s="10"/>
    </row>
    <row r="3157" spans="1:3" x14ac:dyDescent="0.25">
      <c r="A3157" s="10"/>
      <c r="B3157" s="10"/>
      <c r="C3157" s="10"/>
    </row>
    <row r="3158" spans="1:3" x14ac:dyDescent="0.25">
      <c r="A3158" s="10"/>
      <c r="B3158" s="10"/>
      <c r="C3158" s="10"/>
    </row>
    <row r="3159" spans="1:3" x14ac:dyDescent="0.25">
      <c r="A3159" s="10"/>
      <c r="B3159" s="10"/>
      <c r="C3159" s="10"/>
    </row>
    <row r="3160" spans="1:3" x14ac:dyDescent="0.25">
      <c r="A3160" s="10"/>
      <c r="B3160" s="10"/>
      <c r="C3160" s="10"/>
    </row>
    <row r="3161" spans="1:3" x14ac:dyDescent="0.25">
      <c r="A3161" s="10"/>
      <c r="B3161" s="10"/>
      <c r="C3161" s="10"/>
    </row>
    <row r="3162" spans="1:3" x14ac:dyDescent="0.25">
      <c r="A3162" s="10"/>
      <c r="B3162" s="10"/>
      <c r="C3162" s="10"/>
    </row>
    <row r="3163" spans="1:3" x14ac:dyDescent="0.25">
      <c r="A3163" s="10"/>
      <c r="B3163" s="10"/>
      <c r="C3163" s="10"/>
    </row>
    <row r="3164" spans="1:3" x14ac:dyDescent="0.25">
      <c r="A3164" s="10"/>
      <c r="B3164" s="10"/>
      <c r="C3164" s="10"/>
    </row>
    <row r="3165" spans="1:3" x14ac:dyDescent="0.25">
      <c r="A3165" s="10"/>
      <c r="B3165" s="10"/>
      <c r="C3165" s="10"/>
    </row>
    <row r="3166" spans="1:3" x14ac:dyDescent="0.25">
      <c r="A3166" s="10"/>
      <c r="B3166" s="10"/>
      <c r="C3166" s="10"/>
    </row>
    <row r="3167" spans="1:3" x14ac:dyDescent="0.25">
      <c r="A3167" s="10"/>
      <c r="B3167" s="10"/>
      <c r="C3167" s="10"/>
    </row>
    <row r="3168" spans="1:3" x14ac:dyDescent="0.25">
      <c r="A3168" s="10"/>
      <c r="B3168" s="10"/>
      <c r="C3168" s="10"/>
    </row>
    <row r="3169" spans="1:3" x14ac:dyDescent="0.25">
      <c r="A3169" s="10"/>
      <c r="B3169" s="10"/>
      <c r="C3169" s="10"/>
    </row>
    <row r="3170" spans="1:3" x14ac:dyDescent="0.25">
      <c r="A3170" s="10"/>
      <c r="B3170" s="10"/>
      <c r="C3170" s="10"/>
    </row>
    <row r="3171" spans="1:3" x14ac:dyDescent="0.25">
      <c r="A3171" s="10"/>
      <c r="B3171" s="10"/>
      <c r="C3171" s="10"/>
    </row>
    <row r="3172" spans="1:3" x14ac:dyDescent="0.25">
      <c r="A3172" s="10"/>
      <c r="B3172" s="10"/>
      <c r="C3172" s="10"/>
    </row>
    <row r="3173" spans="1:3" x14ac:dyDescent="0.25">
      <c r="A3173" s="10"/>
      <c r="B3173" s="10"/>
      <c r="C3173" s="10"/>
    </row>
    <row r="3174" spans="1:3" x14ac:dyDescent="0.25">
      <c r="A3174" s="10"/>
      <c r="B3174" s="10"/>
      <c r="C3174" s="10"/>
    </row>
    <row r="3175" spans="1:3" x14ac:dyDescent="0.25">
      <c r="A3175" s="10"/>
      <c r="B3175" s="10"/>
      <c r="C3175" s="10"/>
    </row>
    <row r="3176" spans="1:3" x14ac:dyDescent="0.25">
      <c r="A3176" s="10"/>
      <c r="B3176" s="10"/>
      <c r="C3176" s="10"/>
    </row>
    <row r="3177" spans="1:3" x14ac:dyDescent="0.25">
      <c r="A3177" s="10"/>
      <c r="B3177" s="10"/>
      <c r="C3177" s="10"/>
    </row>
    <row r="3178" spans="1:3" x14ac:dyDescent="0.25">
      <c r="A3178" s="10"/>
      <c r="B3178" s="10"/>
      <c r="C3178" s="10"/>
    </row>
    <row r="3179" spans="1:3" x14ac:dyDescent="0.25">
      <c r="A3179" s="10"/>
      <c r="B3179" s="10"/>
      <c r="C3179" s="10"/>
    </row>
    <row r="3180" spans="1:3" x14ac:dyDescent="0.25">
      <c r="A3180" s="10"/>
      <c r="B3180" s="10"/>
      <c r="C3180" s="10"/>
    </row>
    <row r="3181" spans="1:3" x14ac:dyDescent="0.25">
      <c r="A3181" s="10"/>
      <c r="B3181" s="10"/>
      <c r="C3181" s="10"/>
    </row>
    <row r="3182" spans="1:3" x14ac:dyDescent="0.25">
      <c r="A3182" s="10"/>
      <c r="B3182" s="10"/>
      <c r="C3182" s="10"/>
    </row>
    <row r="3183" spans="1:3" x14ac:dyDescent="0.25">
      <c r="A3183" s="10"/>
      <c r="B3183" s="10"/>
      <c r="C3183" s="10"/>
    </row>
    <row r="3184" spans="1:3" x14ac:dyDescent="0.25">
      <c r="A3184" s="10"/>
      <c r="B3184" s="10"/>
      <c r="C3184" s="10"/>
    </row>
    <row r="3185" spans="1:3" x14ac:dyDescent="0.25">
      <c r="A3185" s="10"/>
      <c r="B3185" s="10"/>
      <c r="C3185" s="10"/>
    </row>
    <row r="3186" spans="1:3" x14ac:dyDescent="0.25">
      <c r="A3186" s="10"/>
      <c r="B3186" s="10"/>
      <c r="C3186" s="10"/>
    </row>
    <row r="3187" spans="1:3" x14ac:dyDescent="0.25">
      <c r="A3187" s="10"/>
      <c r="B3187" s="10"/>
      <c r="C3187" s="10"/>
    </row>
    <row r="3188" spans="1:3" x14ac:dyDescent="0.25">
      <c r="A3188" s="10"/>
      <c r="B3188" s="10"/>
      <c r="C3188" s="10"/>
    </row>
    <row r="3189" spans="1:3" x14ac:dyDescent="0.25">
      <c r="A3189" s="10"/>
      <c r="B3189" s="10"/>
      <c r="C3189" s="10"/>
    </row>
    <row r="3190" spans="1:3" x14ac:dyDescent="0.25">
      <c r="A3190" s="10"/>
      <c r="B3190" s="10"/>
      <c r="C3190" s="10"/>
    </row>
    <row r="3191" spans="1:3" x14ac:dyDescent="0.25">
      <c r="A3191" s="10"/>
      <c r="B3191" s="10"/>
      <c r="C3191" s="10"/>
    </row>
    <row r="3192" spans="1:3" x14ac:dyDescent="0.25">
      <c r="A3192" s="10"/>
      <c r="B3192" s="10"/>
      <c r="C3192" s="10"/>
    </row>
    <row r="3193" spans="1:3" x14ac:dyDescent="0.25">
      <c r="A3193" s="10"/>
      <c r="B3193" s="10"/>
      <c r="C3193" s="10"/>
    </row>
    <row r="3194" spans="1:3" x14ac:dyDescent="0.25">
      <c r="A3194" s="10"/>
      <c r="B3194" s="10"/>
      <c r="C3194" s="10"/>
    </row>
    <row r="3195" spans="1:3" x14ac:dyDescent="0.25">
      <c r="A3195" s="10"/>
      <c r="B3195" s="10"/>
      <c r="C3195" s="10"/>
    </row>
    <row r="3196" spans="1:3" x14ac:dyDescent="0.25">
      <c r="A3196" s="10"/>
      <c r="B3196" s="10"/>
      <c r="C3196" s="10"/>
    </row>
    <row r="3197" spans="1:3" x14ac:dyDescent="0.25">
      <c r="A3197" s="10"/>
      <c r="B3197" s="10"/>
      <c r="C3197" s="10"/>
    </row>
    <row r="3198" spans="1:3" x14ac:dyDescent="0.25">
      <c r="A3198" s="10"/>
      <c r="B3198" s="10"/>
      <c r="C3198" s="10"/>
    </row>
    <row r="3199" spans="1:3" x14ac:dyDescent="0.25">
      <c r="A3199" s="10"/>
      <c r="B3199" s="10"/>
      <c r="C3199" s="10"/>
    </row>
    <row r="3200" spans="1:3" x14ac:dyDescent="0.25">
      <c r="A3200" s="10"/>
      <c r="B3200" s="10"/>
      <c r="C3200" s="10"/>
    </row>
    <row r="3201" spans="1:3" x14ac:dyDescent="0.25">
      <c r="A3201" s="10"/>
      <c r="B3201" s="10"/>
      <c r="C3201" s="10"/>
    </row>
    <row r="3202" spans="1:3" x14ac:dyDescent="0.25">
      <c r="A3202" s="10"/>
      <c r="B3202" s="10"/>
      <c r="C3202" s="10"/>
    </row>
    <row r="3203" spans="1:3" x14ac:dyDescent="0.25">
      <c r="A3203" s="10"/>
      <c r="B3203" s="10"/>
      <c r="C3203" s="10"/>
    </row>
    <row r="3204" spans="1:3" x14ac:dyDescent="0.25">
      <c r="A3204" s="10"/>
      <c r="B3204" s="10"/>
      <c r="C3204" s="10"/>
    </row>
    <row r="3205" spans="1:3" x14ac:dyDescent="0.25">
      <c r="A3205" s="10"/>
      <c r="B3205" s="10"/>
      <c r="C3205" s="10"/>
    </row>
    <row r="3206" spans="1:3" x14ac:dyDescent="0.25">
      <c r="A3206" s="10"/>
      <c r="B3206" s="10"/>
      <c r="C3206" s="10"/>
    </row>
    <row r="3207" spans="1:3" x14ac:dyDescent="0.25">
      <c r="A3207" s="10"/>
      <c r="B3207" s="10"/>
      <c r="C3207" s="10"/>
    </row>
    <row r="3208" spans="1:3" x14ac:dyDescent="0.25">
      <c r="A3208" s="10"/>
      <c r="B3208" s="10"/>
      <c r="C3208" s="10"/>
    </row>
    <row r="3209" spans="1:3" x14ac:dyDescent="0.25">
      <c r="A3209" s="10"/>
      <c r="B3209" s="10"/>
      <c r="C3209" s="10"/>
    </row>
    <row r="3210" spans="1:3" x14ac:dyDescent="0.25">
      <c r="A3210" s="10"/>
      <c r="B3210" s="10"/>
      <c r="C3210" s="10"/>
    </row>
    <row r="3211" spans="1:3" x14ac:dyDescent="0.25">
      <c r="A3211" s="10"/>
      <c r="B3211" s="10"/>
      <c r="C3211" s="10"/>
    </row>
    <row r="3212" spans="1:3" x14ac:dyDescent="0.25">
      <c r="A3212" s="10"/>
      <c r="B3212" s="10"/>
      <c r="C3212" s="10"/>
    </row>
    <row r="3213" spans="1:3" x14ac:dyDescent="0.25">
      <c r="A3213" s="10"/>
      <c r="B3213" s="10"/>
      <c r="C3213" s="10"/>
    </row>
    <row r="3214" spans="1:3" x14ac:dyDescent="0.25">
      <c r="A3214" s="10"/>
      <c r="B3214" s="10"/>
      <c r="C3214" s="10"/>
    </row>
    <row r="3215" spans="1:3" x14ac:dyDescent="0.25">
      <c r="A3215" s="10"/>
      <c r="B3215" s="10"/>
      <c r="C3215" s="10"/>
    </row>
    <row r="3216" spans="1:3" x14ac:dyDescent="0.25">
      <c r="A3216" s="10"/>
      <c r="B3216" s="10"/>
      <c r="C3216" s="10"/>
    </row>
    <row r="3217" spans="1:3" x14ac:dyDescent="0.25">
      <c r="A3217" s="10"/>
      <c r="B3217" s="10"/>
      <c r="C3217" s="10"/>
    </row>
    <row r="3218" spans="1:3" x14ac:dyDescent="0.25">
      <c r="A3218" s="10"/>
      <c r="B3218" s="10"/>
      <c r="C3218" s="10"/>
    </row>
    <row r="3219" spans="1:3" x14ac:dyDescent="0.25">
      <c r="A3219" s="10"/>
      <c r="B3219" s="10"/>
      <c r="C3219" s="10"/>
    </row>
    <row r="3220" spans="1:3" x14ac:dyDescent="0.25">
      <c r="A3220" s="10"/>
      <c r="B3220" s="10"/>
      <c r="C3220" s="10"/>
    </row>
    <row r="3221" spans="1:3" x14ac:dyDescent="0.25">
      <c r="A3221" s="10"/>
      <c r="B3221" s="10"/>
      <c r="C3221" s="10"/>
    </row>
    <row r="3222" spans="1:3" x14ac:dyDescent="0.25">
      <c r="A3222" s="10"/>
      <c r="B3222" s="10"/>
      <c r="C3222" s="10"/>
    </row>
    <row r="3223" spans="1:3" x14ac:dyDescent="0.25">
      <c r="A3223" s="10"/>
      <c r="B3223" s="10"/>
      <c r="C3223" s="10"/>
    </row>
    <row r="3224" spans="1:3" x14ac:dyDescent="0.25">
      <c r="A3224" s="10"/>
      <c r="B3224" s="10"/>
      <c r="C3224" s="10"/>
    </row>
    <row r="3225" spans="1:3" x14ac:dyDescent="0.25">
      <c r="A3225" s="10"/>
      <c r="B3225" s="10"/>
      <c r="C3225" s="10"/>
    </row>
    <row r="3226" spans="1:3" x14ac:dyDescent="0.25">
      <c r="A3226" s="10"/>
      <c r="B3226" s="10"/>
      <c r="C3226" s="10"/>
    </row>
    <row r="3227" spans="1:3" x14ac:dyDescent="0.25">
      <c r="A3227" s="10"/>
      <c r="B3227" s="10"/>
      <c r="C3227" s="10"/>
    </row>
    <row r="3228" spans="1:3" x14ac:dyDescent="0.25">
      <c r="A3228" s="10"/>
      <c r="B3228" s="10"/>
      <c r="C3228" s="10"/>
    </row>
    <row r="3229" spans="1:3" x14ac:dyDescent="0.25">
      <c r="A3229" s="10"/>
      <c r="B3229" s="10"/>
      <c r="C3229" s="10"/>
    </row>
    <row r="3230" spans="1:3" x14ac:dyDescent="0.25">
      <c r="A3230" s="10"/>
      <c r="B3230" s="10"/>
      <c r="C3230" s="10"/>
    </row>
    <row r="3231" spans="1:3" x14ac:dyDescent="0.25">
      <c r="A3231" s="10"/>
      <c r="B3231" s="10"/>
      <c r="C3231" s="10"/>
    </row>
    <row r="3232" spans="1:3" x14ac:dyDescent="0.25">
      <c r="A3232" s="10"/>
      <c r="B3232" s="10"/>
      <c r="C3232" s="10"/>
    </row>
    <row r="3233" spans="1:3" x14ac:dyDescent="0.25">
      <c r="A3233" s="10"/>
      <c r="B3233" s="10"/>
      <c r="C3233" s="10"/>
    </row>
    <row r="3234" spans="1:3" x14ac:dyDescent="0.25">
      <c r="A3234" s="10"/>
      <c r="B3234" s="10"/>
      <c r="C3234" s="10"/>
    </row>
    <row r="3235" spans="1:3" x14ac:dyDescent="0.25">
      <c r="A3235" s="10"/>
      <c r="B3235" s="10"/>
      <c r="C3235" s="10"/>
    </row>
    <row r="3236" spans="1:3" x14ac:dyDescent="0.25">
      <c r="A3236" s="10"/>
      <c r="B3236" s="10"/>
      <c r="C3236" s="10"/>
    </row>
    <row r="3237" spans="1:3" x14ac:dyDescent="0.25">
      <c r="A3237" s="10"/>
      <c r="B3237" s="10"/>
      <c r="C3237" s="10"/>
    </row>
    <row r="3238" spans="1:3" x14ac:dyDescent="0.25">
      <c r="A3238" s="10"/>
      <c r="B3238" s="10"/>
      <c r="C3238" s="10"/>
    </row>
    <row r="3239" spans="1:3" x14ac:dyDescent="0.25">
      <c r="A3239" s="10"/>
      <c r="B3239" s="10"/>
      <c r="C3239" s="10"/>
    </row>
    <row r="3240" spans="1:3" x14ac:dyDescent="0.25">
      <c r="A3240" s="10"/>
      <c r="B3240" s="10"/>
      <c r="C3240" s="10"/>
    </row>
    <row r="3241" spans="1:3" x14ac:dyDescent="0.25">
      <c r="A3241" s="10"/>
      <c r="B3241" s="10"/>
      <c r="C3241" s="10"/>
    </row>
    <row r="3242" spans="1:3" x14ac:dyDescent="0.25">
      <c r="A3242" s="10"/>
      <c r="B3242" s="10"/>
      <c r="C3242" s="10"/>
    </row>
    <row r="3243" spans="1:3" x14ac:dyDescent="0.25">
      <c r="A3243" s="10"/>
      <c r="B3243" s="10"/>
      <c r="C3243" s="10"/>
    </row>
    <row r="3244" spans="1:3" x14ac:dyDescent="0.25">
      <c r="A3244" s="10"/>
      <c r="B3244" s="10"/>
      <c r="C3244" s="10"/>
    </row>
    <row r="3245" spans="1:3" x14ac:dyDescent="0.25">
      <c r="A3245" s="10"/>
      <c r="B3245" s="10"/>
      <c r="C3245" s="10"/>
    </row>
    <row r="3246" spans="1:3" x14ac:dyDescent="0.25">
      <c r="A3246" s="10"/>
      <c r="B3246" s="10"/>
      <c r="C3246" s="10"/>
    </row>
    <row r="3247" spans="1:3" x14ac:dyDescent="0.25">
      <c r="A3247" s="10"/>
      <c r="B3247" s="10"/>
      <c r="C3247" s="10"/>
    </row>
    <row r="3248" spans="1:3" x14ac:dyDescent="0.25">
      <c r="A3248" s="10"/>
      <c r="B3248" s="10"/>
      <c r="C3248" s="10"/>
    </row>
    <row r="3249" spans="1:3" x14ac:dyDescent="0.25">
      <c r="A3249" s="10"/>
      <c r="B3249" s="10"/>
      <c r="C3249" s="10"/>
    </row>
    <row r="3250" spans="1:3" x14ac:dyDescent="0.25">
      <c r="A3250" s="10"/>
      <c r="B3250" s="10"/>
      <c r="C3250" s="10"/>
    </row>
    <row r="3251" spans="1:3" x14ac:dyDescent="0.25">
      <c r="A3251" s="10"/>
      <c r="B3251" s="10"/>
      <c r="C3251" s="10"/>
    </row>
    <row r="3252" spans="1:3" x14ac:dyDescent="0.25">
      <c r="A3252" s="10"/>
      <c r="B3252" s="10"/>
      <c r="C3252" s="10"/>
    </row>
    <row r="3253" spans="1:3" x14ac:dyDescent="0.25">
      <c r="A3253" s="10"/>
      <c r="B3253" s="10"/>
      <c r="C3253" s="10"/>
    </row>
    <row r="3254" spans="1:3" x14ac:dyDescent="0.25">
      <c r="A3254" s="10"/>
      <c r="B3254" s="10"/>
      <c r="C3254" s="10"/>
    </row>
    <row r="3255" spans="1:3" x14ac:dyDescent="0.25">
      <c r="A3255" s="10"/>
      <c r="B3255" s="10"/>
      <c r="C3255" s="10"/>
    </row>
    <row r="3256" spans="1:3" x14ac:dyDescent="0.25">
      <c r="A3256" s="10"/>
      <c r="B3256" s="10"/>
      <c r="C3256" s="10"/>
    </row>
    <row r="3257" spans="1:3" x14ac:dyDescent="0.25">
      <c r="A3257" s="10"/>
      <c r="B3257" s="10"/>
      <c r="C3257" s="10"/>
    </row>
    <row r="3258" spans="1:3" x14ac:dyDescent="0.25">
      <c r="A3258" s="10"/>
      <c r="B3258" s="10"/>
      <c r="C3258" s="10"/>
    </row>
    <row r="3259" spans="1:3" x14ac:dyDescent="0.25">
      <c r="A3259" s="10"/>
      <c r="B3259" s="10"/>
      <c r="C3259" s="10"/>
    </row>
    <row r="3260" spans="1:3" x14ac:dyDescent="0.25">
      <c r="A3260" s="10"/>
      <c r="B3260" s="10"/>
      <c r="C3260" s="10"/>
    </row>
    <row r="3261" spans="1:3" x14ac:dyDescent="0.25">
      <c r="A3261" s="10"/>
      <c r="B3261" s="10"/>
      <c r="C3261" s="10"/>
    </row>
    <row r="3262" spans="1:3" x14ac:dyDescent="0.25">
      <c r="A3262" s="10"/>
      <c r="B3262" s="10"/>
      <c r="C3262" s="10"/>
    </row>
    <row r="3263" spans="1:3" x14ac:dyDescent="0.25">
      <c r="A3263" s="10"/>
      <c r="B3263" s="10"/>
      <c r="C3263" s="10"/>
    </row>
    <row r="3264" spans="1:3" x14ac:dyDescent="0.25">
      <c r="A3264" s="10"/>
      <c r="B3264" s="10"/>
      <c r="C3264" s="10"/>
    </row>
    <row r="3265" spans="1:3" x14ac:dyDescent="0.25">
      <c r="A3265" s="10"/>
      <c r="B3265" s="10"/>
      <c r="C3265" s="10"/>
    </row>
    <row r="3266" spans="1:3" x14ac:dyDescent="0.25">
      <c r="A3266" s="10"/>
      <c r="B3266" s="10"/>
      <c r="C3266" s="10"/>
    </row>
    <row r="3267" spans="1:3" x14ac:dyDescent="0.25">
      <c r="A3267" s="10"/>
      <c r="B3267" s="10"/>
      <c r="C3267" s="10"/>
    </row>
    <row r="3268" spans="1:3" x14ac:dyDescent="0.25">
      <c r="A3268" s="10"/>
      <c r="B3268" s="10"/>
      <c r="C3268" s="10"/>
    </row>
    <row r="3269" spans="1:3" x14ac:dyDescent="0.25">
      <c r="A3269" s="10"/>
      <c r="B3269" s="10"/>
      <c r="C3269" s="10"/>
    </row>
    <row r="3270" spans="1:3" x14ac:dyDescent="0.25">
      <c r="A3270" s="10"/>
      <c r="B3270" s="10"/>
      <c r="C3270" s="10"/>
    </row>
    <row r="3271" spans="1:3" x14ac:dyDescent="0.25">
      <c r="A3271" s="10"/>
      <c r="B3271" s="10"/>
      <c r="C3271" s="10"/>
    </row>
    <row r="3272" spans="1:3" x14ac:dyDescent="0.25">
      <c r="A3272" s="10"/>
      <c r="B3272" s="10"/>
      <c r="C3272" s="10"/>
    </row>
    <row r="3273" spans="1:3" x14ac:dyDescent="0.25">
      <c r="A3273" s="10"/>
      <c r="B3273" s="10"/>
      <c r="C3273" s="10"/>
    </row>
    <row r="3274" spans="1:3" x14ac:dyDescent="0.25">
      <c r="A3274" s="10"/>
      <c r="B3274" s="10"/>
      <c r="C3274" s="10"/>
    </row>
    <row r="3275" spans="1:3" x14ac:dyDescent="0.25">
      <c r="A3275" s="10"/>
      <c r="B3275" s="10"/>
      <c r="C3275" s="10"/>
    </row>
    <row r="3276" spans="1:3" x14ac:dyDescent="0.25">
      <c r="A3276" s="10"/>
      <c r="B3276" s="10"/>
      <c r="C3276" s="10"/>
    </row>
    <row r="3277" spans="1:3" x14ac:dyDescent="0.25">
      <c r="A3277" s="10"/>
      <c r="B3277" s="10"/>
      <c r="C3277" s="10"/>
    </row>
    <row r="3278" spans="1:3" x14ac:dyDescent="0.25">
      <c r="A3278" s="10"/>
      <c r="B3278" s="10"/>
      <c r="C3278" s="10"/>
    </row>
    <row r="3279" spans="1:3" x14ac:dyDescent="0.25">
      <c r="A3279" s="10"/>
      <c r="B3279" s="10"/>
      <c r="C3279" s="10"/>
    </row>
    <row r="3280" spans="1:3" x14ac:dyDescent="0.25">
      <c r="A3280" s="10"/>
      <c r="B3280" s="10"/>
      <c r="C3280" s="10"/>
    </row>
    <row r="3281" spans="1:3" x14ac:dyDescent="0.25">
      <c r="A3281" s="10"/>
      <c r="B3281" s="10"/>
      <c r="C3281" s="10"/>
    </row>
    <row r="3282" spans="1:3" x14ac:dyDescent="0.25">
      <c r="A3282" s="10"/>
      <c r="B3282" s="10"/>
      <c r="C3282" s="10"/>
    </row>
    <row r="3283" spans="1:3" x14ac:dyDescent="0.25">
      <c r="A3283" s="10"/>
      <c r="B3283" s="10"/>
      <c r="C3283" s="10"/>
    </row>
    <row r="3284" spans="1:3" x14ac:dyDescent="0.25">
      <c r="A3284" s="10"/>
      <c r="B3284" s="10"/>
      <c r="C3284" s="10"/>
    </row>
    <row r="3285" spans="1:3" x14ac:dyDescent="0.25">
      <c r="A3285" s="10"/>
      <c r="B3285" s="10"/>
      <c r="C3285" s="10"/>
    </row>
    <row r="3286" spans="1:3" x14ac:dyDescent="0.25">
      <c r="A3286" s="10"/>
      <c r="B3286" s="10"/>
      <c r="C3286" s="10"/>
    </row>
    <row r="3287" spans="1:3" x14ac:dyDescent="0.25">
      <c r="A3287" s="10"/>
      <c r="B3287" s="10"/>
      <c r="C3287" s="10"/>
    </row>
    <row r="3288" spans="1:3" x14ac:dyDescent="0.25">
      <c r="A3288" s="10"/>
      <c r="B3288" s="10"/>
      <c r="C3288" s="10"/>
    </row>
    <row r="3289" spans="1:3" x14ac:dyDescent="0.25">
      <c r="A3289" s="10"/>
      <c r="B3289" s="10"/>
      <c r="C3289" s="10"/>
    </row>
    <row r="3290" spans="1:3" x14ac:dyDescent="0.25">
      <c r="A3290" s="10"/>
      <c r="B3290" s="10"/>
      <c r="C3290" s="10"/>
    </row>
    <row r="3291" spans="1:3" x14ac:dyDescent="0.25">
      <c r="A3291" s="10"/>
      <c r="B3291" s="10"/>
      <c r="C3291" s="10"/>
    </row>
    <row r="3292" spans="1:3" x14ac:dyDescent="0.25">
      <c r="A3292" s="10"/>
      <c r="B3292" s="10"/>
      <c r="C3292" s="10"/>
    </row>
    <row r="3293" spans="1:3" x14ac:dyDescent="0.25">
      <c r="A3293" s="10"/>
      <c r="B3293" s="10"/>
      <c r="C3293" s="10"/>
    </row>
    <row r="3294" spans="1:3" x14ac:dyDescent="0.25">
      <c r="A3294" s="10"/>
      <c r="B3294" s="10"/>
      <c r="C3294" s="10"/>
    </row>
    <row r="3295" spans="1:3" x14ac:dyDescent="0.25">
      <c r="A3295" s="10"/>
      <c r="B3295" s="10"/>
      <c r="C3295" s="10"/>
    </row>
    <row r="3296" spans="1:3" x14ac:dyDescent="0.25">
      <c r="A3296" s="10"/>
      <c r="B3296" s="10"/>
      <c r="C3296" s="10"/>
    </row>
    <row r="3297" spans="1:3" x14ac:dyDescent="0.25">
      <c r="A3297" s="10"/>
      <c r="B3297" s="10"/>
      <c r="C3297" s="10"/>
    </row>
    <row r="3298" spans="1:3" x14ac:dyDescent="0.25">
      <c r="A3298" s="10"/>
      <c r="B3298" s="10"/>
      <c r="C3298" s="10"/>
    </row>
    <row r="3299" spans="1:3" x14ac:dyDescent="0.25">
      <c r="A3299" s="10"/>
      <c r="B3299" s="10"/>
      <c r="C3299" s="10"/>
    </row>
    <row r="3300" spans="1:3" x14ac:dyDescent="0.25">
      <c r="A3300" s="10"/>
      <c r="B3300" s="10"/>
      <c r="C3300" s="10"/>
    </row>
    <row r="3301" spans="1:3" x14ac:dyDescent="0.25">
      <c r="A3301" s="10"/>
      <c r="B3301" s="10"/>
      <c r="C3301" s="10"/>
    </row>
    <row r="3302" spans="1:3" x14ac:dyDescent="0.25">
      <c r="A3302" s="10"/>
      <c r="B3302" s="10"/>
      <c r="C3302" s="10"/>
    </row>
    <row r="3303" spans="1:3" x14ac:dyDescent="0.25">
      <c r="A3303" s="10"/>
      <c r="B3303" s="10"/>
      <c r="C3303" s="10"/>
    </row>
    <row r="3304" spans="1:3" x14ac:dyDescent="0.25">
      <c r="A3304" s="10"/>
      <c r="B3304" s="10"/>
      <c r="C3304" s="10"/>
    </row>
    <row r="3305" spans="1:3" x14ac:dyDescent="0.25">
      <c r="A3305" s="10"/>
      <c r="B3305" s="10"/>
      <c r="C3305" s="10"/>
    </row>
    <row r="3306" spans="1:3" x14ac:dyDescent="0.25">
      <c r="A3306" s="10"/>
      <c r="B3306" s="10"/>
      <c r="C3306" s="10"/>
    </row>
    <row r="3307" spans="1:3" x14ac:dyDescent="0.25">
      <c r="A3307" s="10"/>
      <c r="B3307" s="10"/>
      <c r="C3307" s="10"/>
    </row>
    <row r="3308" spans="1:3" x14ac:dyDescent="0.25">
      <c r="A3308" s="10"/>
      <c r="B3308" s="10"/>
      <c r="C3308" s="10"/>
    </row>
    <row r="3309" spans="1:3" x14ac:dyDescent="0.25">
      <c r="A3309" s="10"/>
      <c r="B3309" s="10"/>
      <c r="C3309" s="10"/>
    </row>
    <row r="3310" spans="1:3" x14ac:dyDescent="0.25">
      <c r="A3310" s="10"/>
      <c r="B3310" s="10"/>
      <c r="C3310" s="10"/>
    </row>
    <row r="3311" spans="1:3" x14ac:dyDescent="0.25">
      <c r="A3311" s="10"/>
      <c r="B3311" s="10"/>
      <c r="C3311" s="10"/>
    </row>
    <row r="3312" spans="1:3" x14ac:dyDescent="0.25">
      <c r="A3312" s="10"/>
      <c r="B3312" s="10"/>
      <c r="C3312" s="10"/>
    </row>
    <row r="3313" spans="1:3" x14ac:dyDescent="0.25">
      <c r="A3313" s="10"/>
      <c r="B3313" s="10"/>
      <c r="C3313" s="10"/>
    </row>
    <row r="3314" spans="1:3" x14ac:dyDescent="0.25">
      <c r="A3314" s="10"/>
      <c r="B3314" s="10"/>
      <c r="C3314" s="10"/>
    </row>
    <row r="3315" spans="1:3" x14ac:dyDescent="0.25">
      <c r="A3315" s="10"/>
      <c r="B3315" s="10"/>
      <c r="C3315" s="10"/>
    </row>
    <row r="3316" spans="1:3" x14ac:dyDescent="0.25">
      <c r="A3316" s="10"/>
      <c r="B3316" s="10"/>
      <c r="C3316" s="10"/>
    </row>
    <row r="3317" spans="1:3" x14ac:dyDescent="0.25">
      <c r="A3317" s="10"/>
      <c r="B3317" s="10"/>
      <c r="C3317" s="10"/>
    </row>
    <row r="3318" spans="1:3" x14ac:dyDescent="0.25">
      <c r="A3318" s="10"/>
      <c r="B3318" s="10"/>
      <c r="C3318" s="10"/>
    </row>
    <row r="3319" spans="1:3" x14ac:dyDescent="0.25">
      <c r="A3319" s="10"/>
      <c r="B3319" s="10"/>
      <c r="C3319" s="10"/>
    </row>
    <row r="3320" spans="1:3" x14ac:dyDescent="0.25">
      <c r="A3320" s="10"/>
      <c r="B3320" s="10"/>
      <c r="C3320" s="10"/>
    </row>
    <row r="3321" spans="1:3" x14ac:dyDescent="0.25">
      <c r="A3321" s="10"/>
      <c r="B3321" s="10"/>
      <c r="C3321" s="10"/>
    </row>
    <row r="3322" spans="1:3" x14ac:dyDescent="0.25">
      <c r="A3322" s="10"/>
      <c r="B3322" s="10"/>
      <c r="C3322" s="10"/>
    </row>
    <row r="3323" spans="1:3" x14ac:dyDescent="0.25">
      <c r="A3323" s="10"/>
      <c r="B3323" s="10"/>
      <c r="C3323" s="10"/>
    </row>
    <row r="3324" spans="1:3" x14ac:dyDescent="0.25">
      <c r="A3324" s="10"/>
      <c r="B3324" s="10"/>
      <c r="C3324" s="10"/>
    </row>
    <row r="3325" spans="1:3" x14ac:dyDescent="0.25">
      <c r="A3325" s="10"/>
      <c r="B3325" s="10"/>
      <c r="C3325" s="10"/>
    </row>
    <row r="3326" spans="1:3" x14ac:dyDescent="0.25">
      <c r="A3326" s="10"/>
      <c r="B3326" s="10"/>
      <c r="C3326" s="10"/>
    </row>
    <row r="3327" spans="1:3" x14ac:dyDescent="0.25">
      <c r="A3327" s="10"/>
      <c r="B3327" s="10"/>
      <c r="C3327" s="10"/>
    </row>
    <row r="3328" spans="1:3" x14ac:dyDescent="0.25">
      <c r="A3328" s="10"/>
      <c r="B3328" s="10"/>
      <c r="C3328" s="10"/>
    </row>
    <row r="3329" spans="1:3" x14ac:dyDescent="0.25">
      <c r="A3329" s="10"/>
      <c r="B3329" s="10"/>
      <c r="C3329" s="10"/>
    </row>
    <row r="3330" spans="1:3" x14ac:dyDescent="0.25">
      <c r="A3330" s="10"/>
      <c r="B3330" s="10"/>
      <c r="C3330" s="10"/>
    </row>
    <row r="3331" spans="1:3" x14ac:dyDescent="0.25">
      <c r="A3331" s="10"/>
      <c r="B3331" s="10"/>
      <c r="C3331" s="10"/>
    </row>
    <row r="3332" spans="1:3" x14ac:dyDescent="0.25">
      <c r="A3332" s="10"/>
      <c r="B3332" s="10"/>
      <c r="C3332" s="10"/>
    </row>
    <row r="3333" spans="1:3" x14ac:dyDescent="0.25">
      <c r="A3333" s="10"/>
      <c r="B3333" s="10"/>
      <c r="C3333" s="10"/>
    </row>
    <row r="3334" spans="1:3" x14ac:dyDescent="0.25">
      <c r="A3334" s="10"/>
      <c r="B3334" s="10"/>
      <c r="C3334" s="10"/>
    </row>
    <row r="3335" spans="1:3" x14ac:dyDescent="0.25">
      <c r="A3335" s="10"/>
      <c r="B3335" s="10"/>
      <c r="C3335" s="10"/>
    </row>
    <row r="3336" spans="1:3" x14ac:dyDescent="0.25">
      <c r="A3336" s="10"/>
      <c r="B3336" s="10"/>
      <c r="C3336" s="10"/>
    </row>
    <row r="3337" spans="1:3" x14ac:dyDescent="0.25">
      <c r="A3337" s="10"/>
      <c r="B3337" s="10"/>
      <c r="C3337" s="10"/>
    </row>
    <row r="3338" spans="1:3" x14ac:dyDescent="0.25">
      <c r="A3338" s="10"/>
      <c r="B3338" s="10"/>
      <c r="C3338" s="10"/>
    </row>
    <row r="3339" spans="1:3" x14ac:dyDescent="0.25">
      <c r="A3339" s="10"/>
      <c r="B3339" s="10"/>
      <c r="C3339" s="10"/>
    </row>
    <row r="3340" spans="1:3" x14ac:dyDescent="0.25">
      <c r="A3340" s="10"/>
      <c r="B3340" s="10"/>
      <c r="C3340" s="10"/>
    </row>
    <row r="3341" spans="1:3" x14ac:dyDescent="0.25">
      <c r="A3341" s="10"/>
      <c r="B3341" s="10"/>
      <c r="C3341" s="10"/>
    </row>
    <row r="3342" spans="1:3" x14ac:dyDescent="0.25">
      <c r="A3342" s="10"/>
      <c r="B3342" s="10"/>
      <c r="C3342" s="10"/>
    </row>
    <row r="3343" spans="1:3" x14ac:dyDescent="0.25">
      <c r="A3343" s="10"/>
      <c r="B3343" s="10"/>
      <c r="C3343" s="10"/>
    </row>
    <row r="3344" spans="1:3" x14ac:dyDescent="0.25">
      <c r="A3344" s="10"/>
      <c r="B3344" s="10"/>
      <c r="C3344" s="10"/>
    </row>
    <row r="3345" spans="1:3" x14ac:dyDescent="0.25">
      <c r="A3345" s="10"/>
      <c r="B3345" s="10"/>
      <c r="C3345" s="10"/>
    </row>
    <row r="3346" spans="1:3" x14ac:dyDescent="0.25">
      <c r="A3346" s="10"/>
      <c r="B3346" s="10"/>
      <c r="C3346" s="10"/>
    </row>
    <row r="3347" spans="1:3" x14ac:dyDescent="0.25">
      <c r="A3347" s="10"/>
      <c r="B3347" s="10"/>
      <c r="C3347" s="10"/>
    </row>
    <row r="3348" spans="1:3" x14ac:dyDescent="0.25">
      <c r="A3348" s="10"/>
      <c r="B3348" s="10"/>
      <c r="C3348" s="10"/>
    </row>
    <row r="3349" spans="1:3" x14ac:dyDescent="0.25">
      <c r="A3349" s="10"/>
      <c r="B3349" s="10"/>
      <c r="C3349" s="10"/>
    </row>
    <row r="3350" spans="1:3" x14ac:dyDescent="0.25">
      <c r="A3350" s="10"/>
      <c r="B3350" s="10"/>
      <c r="C3350" s="10"/>
    </row>
    <row r="3351" spans="1:3" x14ac:dyDescent="0.25">
      <c r="A3351" s="10"/>
      <c r="B3351" s="10"/>
      <c r="C3351" s="10"/>
    </row>
    <row r="3352" spans="1:3" x14ac:dyDescent="0.25">
      <c r="A3352" s="10"/>
      <c r="B3352" s="10"/>
      <c r="C3352" s="10"/>
    </row>
    <row r="3353" spans="1:3" x14ac:dyDescent="0.25">
      <c r="A3353" s="10"/>
      <c r="B3353" s="10"/>
      <c r="C3353" s="10"/>
    </row>
    <row r="3354" spans="1:3" x14ac:dyDescent="0.25">
      <c r="A3354" s="10"/>
      <c r="B3354" s="10"/>
      <c r="C3354" s="10"/>
    </row>
    <row r="3355" spans="1:3" x14ac:dyDescent="0.25">
      <c r="A3355" s="10"/>
      <c r="B3355" s="10"/>
      <c r="C3355" s="10"/>
    </row>
    <row r="3356" spans="1:3" x14ac:dyDescent="0.25">
      <c r="A3356" s="10"/>
      <c r="B3356" s="10"/>
      <c r="C3356" s="10"/>
    </row>
    <row r="3357" spans="1:3" x14ac:dyDescent="0.25">
      <c r="A3357" s="10"/>
      <c r="B3357" s="10"/>
      <c r="C3357" s="10"/>
    </row>
    <row r="3358" spans="1:3" x14ac:dyDescent="0.25">
      <c r="A3358" s="10"/>
      <c r="B3358" s="10"/>
      <c r="C3358" s="10"/>
    </row>
    <row r="3359" spans="1:3" x14ac:dyDescent="0.25">
      <c r="A3359" s="10"/>
      <c r="B3359" s="10"/>
      <c r="C3359" s="10"/>
    </row>
    <row r="3360" spans="1:3" x14ac:dyDescent="0.25">
      <c r="A3360" s="10"/>
      <c r="B3360" s="10"/>
      <c r="C3360" s="10"/>
    </row>
    <row r="3361" spans="1:3" x14ac:dyDescent="0.25">
      <c r="A3361" s="10"/>
      <c r="B3361" s="10"/>
      <c r="C3361" s="10"/>
    </row>
    <row r="3362" spans="1:3" x14ac:dyDescent="0.25">
      <c r="A3362" s="10"/>
      <c r="B3362" s="10"/>
      <c r="C3362" s="10"/>
    </row>
    <row r="3363" spans="1:3" x14ac:dyDescent="0.25">
      <c r="A3363" s="10"/>
      <c r="B3363" s="10"/>
      <c r="C3363" s="10"/>
    </row>
    <row r="3364" spans="1:3" x14ac:dyDescent="0.25">
      <c r="A3364" s="10"/>
      <c r="B3364" s="10"/>
      <c r="C3364" s="10"/>
    </row>
    <row r="3365" spans="1:3" x14ac:dyDescent="0.25">
      <c r="A3365" s="10"/>
      <c r="B3365" s="10"/>
      <c r="C3365" s="10"/>
    </row>
    <row r="3366" spans="1:3" x14ac:dyDescent="0.25">
      <c r="A3366" s="10"/>
      <c r="B3366" s="10"/>
      <c r="C3366" s="10"/>
    </row>
    <row r="3367" spans="1:3" x14ac:dyDescent="0.25">
      <c r="A3367" s="10"/>
      <c r="B3367" s="10"/>
      <c r="C3367" s="10"/>
    </row>
    <row r="3368" spans="1:3" x14ac:dyDescent="0.25">
      <c r="A3368" s="10"/>
      <c r="B3368" s="10"/>
      <c r="C3368" s="10"/>
    </row>
    <row r="3369" spans="1:3" x14ac:dyDescent="0.25">
      <c r="A3369" s="10"/>
      <c r="B3369" s="10"/>
      <c r="C3369" s="10"/>
    </row>
    <row r="3370" spans="1:3" x14ac:dyDescent="0.25">
      <c r="A3370" s="10"/>
      <c r="B3370" s="10"/>
      <c r="C3370" s="10"/>
    </row>
    <row r="3371" spans="1:3" x14ac:dyDescent="0.25">
      <c r="A3371" s="10"/>
      <c r="B3371" s="10"/>
      <c r="C3371" s="10"/>
    </row>
    <row r="3372" spans="1:3" x14ac:dyDescent="0.25">
      <c r="A3372" s="10"/>
      <c r="B3372" s="10"/>
      <c r="C3372" s="10"/>
    </row>
    <row r="3373" spans="1:3" x14ac:dyDescent="0.25">
      <c r="A3373" s="10"/>
      <c r="B3373" s="10"/>
      <c r="C3373" s="10"/>
    </row>
    <row r="3374" spans="1:3" x14ac:dyDescent="0.25">
      <c r="A3374" s="10"/>
      <c r="B3374" s="10"/>
      <c r="C3374" s="10"/>
    </row>
    <row r="3375" spans="1:3" x14ac:dyDescent="0.25">
      <c r="A3375" s="10"/>
      <c r="B3375" s="10"/>
      <c r="C3375" s="10"/>
    </row>
    <row r="3376" spans="1:3" x14ac:dyDescent="0.25">
      <c r="A3376" s="10"/>
      <c r="B3376" s="10"/>
      <c r="C3376" s="10"/>
    </row>
    <row r="3377" spans="1:3" x14ac:dyDescent="0.25">
      <c r="A3377" s="10"/>
      <c r="B3377" s="10"/>
      <c r="C3377" s="10"/>
    </row>
    <row r="3378" spans="1:3" x14ac:dyDescent="0.25">
      <c r="A3378" s="10"/>
      <c r="B3378" s="10"/>
      <c r="C3378" s="10"/>
    </row>
    <row r="3379" spans="1:3" x14ac:dyDescent="0.25">
      <c r="A3379" s="10"/>
      <c r="B3379" s="10"/>
      <c r="C3379" s="10"/>
    </row>
    <row r="3380" spans="1:3" x14ac:dyDescent="0.25">
      <c r="A3380" s="10"/>
      <c r="B3380" s="10"/>
      <c r="C3380" s="10"/>
    </row>
    <row r="3381" spans="1:3" x14ac:dyDescent="0.25">
      <c r="A3381" s="10"/>
      <c r="B3381" s="10"/>
      <c r="C3381" s="10"/>
    </row>
    <row r="3382" spans="1:3" x14ac:dyDescent="0.25">
      <c r="A3382" s="10"/>
      <c r="B3382" s="10"/>
      <c r="C3382" s="10"/>
    </row>
    <row r="3383" spans="1:3" x14ac:dyDescent="0.25">
      <c r="A3383" s="10"/>
      <c r="B3383" s="10"/>
      <c r="C3383" s="10"/>
    </row>
    <row r="3384" spans="1:3" x14ac:dyDescent="0.25">
      <c r="A3384" s="10"/>
      <c r="B3384" s="10"/>
      <c r="C3384" s="10"/>
    </row>
    <row r="3385" spans="1:3" x14ac:dyDescent="0.25">
      <c r="A3385" s="10"/>
      <c r="B3385" s="10"/>
      <c r="C3385" s="10"/>
    </row>
    <row r="3386" spans="1:3" x14ac:dyDescent="0.25">
      <c r="A3386" s="10"/>
      <c r="B3386" s="10"/>
      <c r="C3386" s="10"/>
    </row>
    <row r="3387" spans="1:3" x14ac:dyDescent="0.25">
      <c r="A3387" s="10"/>
      <c r="B3387" s="10"/>
      <c r="C3387" s="10"/>
    </row>
    <row r="3388" spans="1:3" x14ac:dyDescent="0.25">
      <c r="A3388" s="10"/>
      <c r="B3388" s="10"/>
      <c r="C3388" s="10"/>
    </row>
    <row r="3389" spans="1:3" x14ac:dyDescent="0.25">
      <c r="A3389" s="10"/>
      <c r="B3389" s="10"/>
      <c r="C3389" s="10"/>
    </row>
    <row r="3390" spans="1:3" x14ac:dyDescent="0.25">
      <c r="A3390" s="10"/>
      <c r="B3390" s="10"/>
      <c r="C3390" s="10"/>
    </row>
    <row r="3391" spans="1:3" x14ac:dyDescent="0.25">
      <c r="A3391" s="10"/>
      <c r="B3391" s="10"/>
      <c r="C3391" s="10"/>
    </row>
    <row r="3392" spans="1:3" x14ac:dyDescent="0.25">
      <c r="A3392" s="10"/>
      <c r="B3392" s="10"/>
      <c r="C3392" s="10"/>
    </row>
    <row r="3393" spans="1:3" x14ac:dyDescent="0.25">
      <c r="A3393" s="10"/>
      <c r="B3393" s="10"/>
      <c r="C3393" s="10"/>
    </row>
    <row r="3394" spans="1:3" x14ac:dyDescent="0.25">
      <c r="A3394" s="10"/>
      <c r="B3394" s="10"/>
      <c r="C3394" s="10"/>
    </row>
    <row r="3395" spans="1:3" x14ac:dyDescent="0.25">
      <c r="A3395" s="10"/>
      <c r="B3395" s="10"/>
      <c r="C3395" s="10"/>
    </row>
    <row r="3396" spans="1:3" x14ac:dyDescent="0.25">
      <c r="A3396" s="10"/>
      <c r="B3396" s="10"/>
      <c r="C3396" s="10"/>
    </row>
    <row r="3397" spans="1:3" x14ac:dyDescent="0.25">
      <c r="A3397" s="10"/>
      <c r="B3397" s="10"/>
      <c r="C3397" s="10"/>
    </row>
    <row r="3398" spans="1:3" x14ac:dyDescent="0.25">
      <c r="A3398" s="10"/>
      <c r="B3398" s="10"/>
      <c r="C3398" s="10"/>
    </row>
    <row r="3399" spans="1:3" x14ac:dyDescent="0.25">
      <c r="A3399" s="10"/>
      <c r="B3399" s="10"/>
      <c r="C3399" s="10"/>
    </row>
    <row r="3400" spans="1:3" x14ac:dyDescent="0.25">
      <c r="A3400" s="10"/>
      <c r="B3400" s="10"/>
      <c r="C3400" s="10"/>
    </row>
    <row r="3401" spans="1:3" x14ac:dyDescent="0.25">
      <c r="A3401" s="10"/>
      <c r="B3401" s="10"/>
      <c r="C3401" s="10"/>
    </row>
    <row r="3402" spans="1:3" x14ac:dyDescent="0.25">
      <c r="A3402" s="10"/>
      <c r="B3402" s="10"/>
      <c r="C3402" s="10"/>
    </row>
    <row r="3403" spans="1:3" x14ac:dyDescent="0.25">
      <c r="A3403" s="10"/>
      <c r="B3403" s="10"/>
      <c r="C3403" s="10"/>
    </row>
    <row r="3404" spans="1:3" x14ac:dyDescent="0.25">
      <c r="A3404" s="10"/>
      <c r="B3404" s="10"/>
      <c r="C3404" s="10"/>
    </row>
    <row r="3405" spans="1:3" x14ac:dyDescent="0.25">
      <c r="A3405" s="10"/>
      <c r="B3405" s="10"/>
      <c r="C3405" s="10"/>
    </row>
    <row r="3406" spans="1:3" x14ac:dyDescent="0.25">
      <c r="A3406" s="10"/>
      <c r="B3406" s="10"/>
      <c r="C3406" s="10"/>
    </row>
    <row r="3407" spans="1:3" x14ac:dyDescent="0.25">
      <c r="A3407" s="10"/>
      <c r="B3407" s="10"/>
      <c r="C3407" s="10"/>
    </row>
    <row r="3408" spans="1:3" x14ac:dyDescent="0.25">
      <c r="A3408" s="10"/>
      <c r="B3408" s="10"/>
      <c r="C3408" s="10"/>
    </row>
    <row r="3409" spans="1:3" x14ac:dyDescent="0.25">
      <c r="A3409" s="10"/>
      <c r="B3409" s="10"/>
      <c r="C3409" s="10"/>
    </row>
    <row r="3410" spans="1:3" x14ac:dyDescent="0.25">
      <c r="A3410" s="10"/>
      <c r="B3410" s="10"/>
      <c r="C3410" s="10"/>
    </row>
    <row r="3411" spans="1:3" x14ac:dyDescent="0.25">
      <c r="A3411" s="10"/>
      <c r="B3411" s="10"/>
      <c r="C3411" s="10"/>
    </row>
    <row r="3412" spans="1:3" x14ac:dyDescent="0.25">
      <c r="A3412" s="10"/>
      <c r="B3412" s="10"/>
      <c r="C3412" s="10"/>
    </row>
    <row r="3413" spans="1:3" x14ac:dyDescent="0.25">
      <c r="A3413" s="10"/>
      <c r="B3413" s="10"/>
      <c r="C3413" s="10"/>
    </row>
    <row r="3414" spans="1:3" x14ac:dyDescent="0.25">
      <c r="A3414" s="10"/>
      <c r="B3414" s="10"/>
      <c r="C3414" s="10"/>
    </row>
    <row r="3415" spans="1:3" x14ac:dyDescent="0.25">
      <c r="A3415" s="10"/>
      <c r="B3415" s="10"/>
      <c r="C3415" s="10"/>
    </row>
    <row r="3416" spans="1:3" x14ac:dyDescent="0.25">
      <c r="A3416" s="10"/>
      <c r="B3416" s="10"/>
      <c r="C3416" s="10"/>
    </row>
    <row r="3417" spans="1:3" x14ac:dyDescent="0.25">
      <c r="A3417" s="10"/>
      <c r="B3417" s="10"/>
      <c r="C3417" s="10"/>
    </row>
    <row r="3418" spans="1:3" x14ac:dyDescent="0.25">
      <c r="A3418" s="10"/>
      <c r="B3418" s="10"/>
      <c r="C3418" s="10"/>
    </row>
    <row r="3419" spans="1:3" x14ac:dyDescent="0.25">
      <c r="A3419" s="10"/>
      <c r="B3419" s="10"/>
      <c r="C3419" s="10"/>
    </row>
    <row r="3420" spans="1:3" x14ac:dyDescent="0.25">
      <c r="A3420" s="10"/>
      <c r="B3420" s="10"/>
      <c r="C3420" s="10"/>
    </row>
    <row r="3421" spans="1:3" x14ac:dyDescent="0.25">
      <c r="A3421" s="10"/>
      <c r="B3421" s="10"/>
      <c r="C3421" s="10"/>
    </row>
    <row r="3422" spans="1:3" x14ac:dyDescent="0.25">
      <c r="A3422" s="10"/>
      <c r="B3422" s="10"/>
      <c r="C3422" s="10"/>
    </row>
    <row r="3423" spans="1:3" x14ac:dyDescent="0.25">
      <c r="A3423" s="10"/>
      <c r="B3423" s="10"/>
      <c r="C3423" s="10"/>
    </row>
    <row r="3424" spans="1:3" x14ac:dyDescent="0.25">
      <c r="A3424" s="10"/>
      <c r="B3424" s="10"/>
      <c r="C3424" s="10"/>
    </row>
    <row r="3425" spans="1:3" x14ac:dyDescent="0.25">
      <c r="A3425" s="10"/>
      <c r="B3425" s="10"/>
      <c r="C3425" s="10"/>
    </row>
    <row r="3426" spans="1:3" x14ac:dyDescent="0.25">
      <c r="A3426" s="10"/>
      <c r="B3426" s="10"/>
      <c r="C3426" s="10"/>
    </row>
    <row r="3427" spans="1:3" x14ac:dyDescent="0.25">
      <c r="A3427" s="10"/>
      <c r="B3427" s="10"/>
      <c r="C3427" s="10"/>
    </row>
    <row r="3428" spans="1:3" x14ac:dyDescent="0.25">
      <c r="A3428" s="10"/>
      <c r="B3428" s="10"/>
      <c r="C3428" s="10"/>
    </row>
    <row r="3429" spans="1:3" x14ac:dyDescent="0.25">
      <c r="A3429" s="10"/>
      <c r="B3429" s="10"/>
      <c r="C3429" s="10"/>
    </row>
    <row r="3430" spans="1:3" x14ac:dyDescent="0.25">
      <c r="A3430" s="10"/>
      <c r="B3430" s="10"/>
      <c r="C3430" s="10"/>
    </row>
    <row r="3431" spans="1:3" x14ac:dyDescent="0.25">
      <c r="A3431" s="10"/>
      <c r="B3431" s="10"/>
      <c r="C3431" s="10"/>
    </row>
    <row r="3432" spans="1:3" x14ac:dyDescent="0.25">
      <c r="A3432" s="10"/>
      <c r="B3432" s="10"/>
      <c r="C3432" s="10"/>
    </row>
    <row r="3433" spans="1:3" x14ac:dyDescent="0.25">
      <c r="A3433" s="10"/>
      <c r="B3433" s="10"/>
      <c r="C3433" s="10"/>
    </row>
    <row r="3434" spans="1:3" x14ac:dyDescent="0.25">
      <c r="A3434" s="10"/>
      <c r="B3434" s="10"/>
      <c r="C3434" s="10"/>
    </row>
    <row r="3435" spans="1:3" x14ac:dyDescent="0.25">
      <c r="A3435" s="10"/>
      <c r="B3435" s="10"/>
      <c r="C3435" s="10"/>
    </row>
    <row r="3436" spans="1:3" x14ac:dyDescent="0.25">
      <c r="A3436" s="10"/>
      <c r="B3436" s="10"/>
      <c r="C3436" s="10"/>
    </row>
    <row r="3437" spans="1:3" x14ac:dyDescent="0.25">
      <c r="A3437" s="10"/>
      <c r="B3437" s="10"/>
      <c r="C3437" s="10"/>
    </row>
    <row r="3438" spans="1:3" x14ac:dyDescent="0.25">
      <c r="A3438" s="10"/>
      <c r="B3438" s="10"/>
      <c r="C3438" s="10"/>
    </row>
    <row r="3439" spans="1:3" x14ac:dyDescent="0.25">
      <c r="A3439" s="10"/>
      <c r="B3439" s="10"/>
      <c r="C3439" s="10"/>
    </row>
    <row r="3440" spans="1:3" x14ac:dyDescent="0.25">
      <c r="A3440" s="10"/>
      <c r="B3440" s="10"/>
      <c r="C3440" s="10"/>
    </row>
    <row r="3441" spans="1:3" x14ac:dyDescent="0.25">
      <c r="A3441" s="10"/>
      <c r="B3441" s="10"/>
      <c r="C3441" s="10"/>
    </row>
    <row r="3442" spans="1:3" x14ac:dyDescent="0.25">
      <c r="A3442" s="10"/>
      <c r="B3442" s="10"/>
      <c r="C3442" s="10"/>
    </row>
    <row r="3443" spans="1:3" x14ac:dyDescent="0.25">
      <c r="A3443" s="10"/>
      <c r="B3443" s="10"/>
      <c r="C3443" s="10"/>
    </row>
    <row r="3444" spans="1:3" x14ac:dyDescent="0.25">
      <c r="A3444" s="10"/>
      <c r="B3444" s="10"/>
      <c r="C3444" s="10"/>
    </row>
    <row r="3445" spans="1:3" x14ac:dyDescent="0.25">
      <c r="A3445" s="10"/>
      <c r="B3445" s="10"/>
      <c r="C3445" s="10"/>
    </row>
    <row r="3446" spans="1:3" x14ac:dyDescent="0.25">
      <c r="A3446" s="10"/>
      <c r="B3446" s="10"/>
      <c r="C3446" s="10"/>
    </row>
    <row r="3447" spans="1:3" x14ac:dyDescent="0.25">
      <c r="A3447" s="10"/>
      <c r="B3447" s="10"/>
      <c r="C3447" s="10"/>
    </row>
    <row r="3448" spans="1:3" x14ac:dyDescent="0.25">
      <c r="A3448" s="10"/>
      <c r="B3448" s="10"/>
      <c r="C3448" s="10"/>
    </row>
    <row r="3449" spans="1:3" x14ac:dyDescent="0.25">
      <c r="A3449" s="10"/>
      <c r="B3449" s="10"/>
      <c r="C3449" s="10"/>
    </row>
    <row r="3450" spans="1:3" x14ac:dyDescent="0.25">
      <c r="A3450" s="10"/>
      <c r="B3450" s="10"/>
      <c r="C3450" s="10"/>
    </row>
    <row r="3451" spans="1:3" x14ac:dyDescent="0.25">
      <c r="A3451" s="10"/>
      <c r="B3451" s="10"/>
      <c r="C3451" s="10"/>
    </row>
    <row r="3452" spans="1:3" x14ac:dyDescent="0.25">
      <c r="A3452" s="10"/>
      <c r="B3452" s="10"/>
      <c r="C3452" s="10"/>
    </row>
    <row r="3453" spans="1:3" x14ac:dyDescent="0.25">
      <c r="A3453" s="10"/>
      <c r="B3453" s="10"/>
      <c r="C3453" s="10"/>
    </row>
    <row r="3454" spans="1:3" x14ac:dyDescent="0.25">
      <c r="A3454" s="10"/>
      <c r="B3454" s="10"/>
      <c r="C3454" s="10"/>
    </row>
    <row r="3455" spans="1:3" x14ac:dyDescent="0.25">
      <c r="A3455" s="10"/>
      <c r="B3455" s="10"/>
      <c r="C3455" s="10"/>
    </row>
    <row r="3456" spans="1:3" x14ac:dyDescent="0.25">
      <c r="A3456" s="10"/>
      <c r="B3456" s="10"/>
      <c r="C3456" s="10"/>
    </row>
    <row r="3457" spans="1:3" x14ac:dyDescent="0.25">
      <c r="A3457" s="10"/>
      <c r="B3457" s="10"/>
      <c r="C3457" s="10"/>
    </row>
    <row r="3458" spans="1:3" x14ac:dyDescent="0.25">
      <c r="A3458" s="10"/>
      <c r="B3458" s="10"/>
      <c r="C3458" s="10"/>
    </row>
    <row r="3459" spans="1:3" x14ac:dyDescent="0.25">
      <c r="A3459" s="10"/>
      <c r="B3459" s="10"/>
      <c r="C3459" s="10"/>
    </row>
    <row r="3460" spans="1:3" x14ac:dyDescent="0.25">
      <c r="A3460" s="10"/>
      <c r="B3460" s="10"/>
      <c r="C3460" s="10"/>
    </row>
    <row r="3461" spans="1:3" x14ac:dyDescent="0.25">
      <c r="A3461" s="10"/>
      <c r="B3461" s="10"/>
      <c r="C3461" s="10"/>
    </row>
    <row r="3462" spans="1:3" x14ac:dyDescent="0.25">
      <c r="A3462" s="10"/>
      <c r="B3462" s="10"/>
      <c r="C3462" s="10"/>
    </row>
    <row r="3463" spans="1:3" x14ac:dyDescent="0.25">
      <c r="A3463" s="10"/>
      <c r="B3463" s="10"/>
      <c r="C3463" s="10"/>
    </row>
    <row r="3464" spans="1:3" x14ac:dyDescent="0.25">
      <c r="A3464" s="10"/>
      <c r="B3464" s="10"/>
      <c r="C3464" s="10"/>
    </row>
    <row r="3465" spans="1:3" x14ac:dyDescent="0.25">
      <c r="A3465" s="10"/>
      <c r="B3465" s="10"/>
      <c r="C3465" s="10"/>
    </row>
    <row r="3466" spans="1:3" x14ac:dyDescent="0.25">
      <c r="A3466" s="10"/>
      <c r="B3466" s="10"/>
      <c r="C3466" s="10"/>
    </row>
    <row r="3467" spans="1:3" x14ac:dyDescent="0.25">
      <c r="A3467" s="10"/>
      <c r="B3467" s="10"/>
      <c r="C3467" s="10"/>
    </row>
    <row r="3468" spans="1:3" x14ac:dyDescent="0.25">
      <c r="A3468" s="10"/>
      <c r="B3468" s="10"/>
      <c r="C3468" s="10"/>
    </row>
    <row r="3469" spans="1:3" x14ac:dyDescent="0.25">
      <c r="A3469" s="10"/>
      <c r="B3469" s="10"/>
      <c r="C3469" s="10"/>
    </row>
    <row r="3470" spans="1:3" x14ac:dyDescent="0.25">
      <c r="A3470" s="10"/>
      <c r="B3470" s="10"/>
      <c r="C3470" s="10"/>
    </row>
    <row r="3471" spans="1:3" x14ac:dyDescent="0.25">
      <c r="A3471" s="10"/>
      <c r="B3471" s="10"/>
      <c r="C3471" s="10"/>
    </row>
    <row r="3472" spans="1:3" x14ac:dyDescent="0.25">
      <c r="A3472" s="10"/>
      <c r="B3472" s="10"/>
      <c r="C3472" s="10"/>
    </row>
    <row r="3473" spans="1:3" x14ac:dyDescent="0.25">
      <c r="A3473" s="10"/>
      <c r="B3473" s="10"/>
      <c r="C3473" s="10"/>
    </row>
    <row r="3474" spans="1:3" x14ac:dyDescent="0.25">
      <c r="A3474" s="10"/>
      <c r="B3474" s="10"/>
      <c r="C3474" s="10"/>
    </row>
    <row r="3475" spans="1:3" x14ac:dyDescent="0.25">
      <c r="A3475" s="10"/>
      <c r="B3475" s="10"/>
      <c r="C3475" s="10"/>
    </row>
    <row r="3476" spans="1:3" x14ac:dyDescent="0.25">
      <c r="A3476" s="10"/>
      <c r="B3476" s="10"/>
      <c r="C3476" s="10"/>
    </row>
    <row r="3477" spans="1:3" x14ac:dyDescent="0.25">
      <c r="A3477" s="10"/>
      <c r="B3477" s="10"/>
      <c r="C3477" s="10"/>
    </row>
    <row r="3478" spans="1:3" x14ac:dyDescent="0.25">
      <c r="A3478" s="10"/>
      <c r="B3478" s="10"/>
      <c r="C3478" s="10"/>
    </row>
    <row r="3479" spans="1:3" x14ac:dyDescent="0.25">
      <c r="A3479" s="10"/>
      <c r="B3479" s="10"/>
      <c r="C3479" s="10"/>
    </row>
    <row r="3480" spans="1:3" x14ac:dyDescent="0.25">
      <c r="A3480" s="10"/>
      <c r="B3480" s="10"/>
      <c r="C3480" s="10"/>
    </row>
    <row r="3481" spans="1:3" x14ac:dyDescent="0.25">
      <c r="A3481" s="10"/>
      <c r="B3481" s="10"/>
      <c r="C3481" s="10"/>
    </row>
    <row r="3482" spans="1:3" x14ac:dyDescent="0.25">
      <c r="A3482" s="10"/>
      <c r="B3482" s="10"/>
      <c r="C3482" s="10"/>
    </row>
    <row r="3483" spans="1:3" x14ac:dyDescent="0.25">
      <c r="A3483" s="10"/>
      <c r="B3483" s="10"/>
      <c r="C3483" s="10"/>
    </row>
    <row r="3484" spans="1:3" x14ac:dyDescent="0.25">
      <c r="A3484" s="10"/>
      <c r="B3484" s="10"/>
      <c r="C3484" s="10"/>
    </row>
    <row r="3485" spans="1:3" x14ac:dyDescent="0.25">
      <c r="A3485" s="10"/>
      <c r="B3485" s="10"/>
      <c r="C3485" s="10"/>
    </row>
    <row r="3486" spans="1:3" x14ac:dyDescent="0.25">
      <c r="A3486" s="10"/>
      <c r="B3486" s="10"/>
      <c r="C3486" s="10"/>
    </row>
    <row r="3487" spans="1:3" x14ac:dyDescent="0.25">
      <c r="A3487" s="10"/>
      <c r="B3487" s="10"/>
      <c r="C3487" s="10"/>
    </row>
    <row r="3488" spans="1:3" x14ac:dyDescent="0.25">
      <c r="A3488" s="10"/>
      <c r="B3488" s="10"/>
      <c r="C3488" s="10"/>
    </row>
    <row r="3489" spans="1:3" x14ac:dyDescent="0.25">
      <c r="A3489" s="10"/>
      <c r="B3489" s="10"/>
      <c r="C3489" s="10"/>
    </row>
    <row r="3490" spans="1:3" x14ac:dyDescent="0.25">
      <c r="A3490" s="10"/>
      <c r="B3490" s="10"/>
      <c r="C3490" s="10"/>
    </row>
    <row r="3491" spans="1:3" x14ac:dyDescent="0.25">
      <c r="A3491" s="10"/>
      <c r="B3491" s="10"/>
      <c r="C3491" s="10"/>
    </row>
    <row r="3492" spans="1:3" x14ac:dyDescent="0.25">
      <c r="A3492" s="10"/>
      <c r="B3492" s="10"/>
      <c r="C3492" s="10"/>
    </row>
    <row r="3493" spans="1:3" x14ac:dyDescent="0.25">
      <c r="A3493" s="10"/>
      <c r="B3493" s="10"/>
      <c r="C3493" s="10"/>
    </row>
    <row r="3494" spans="1:3" x14ac:dyDescent="0.25">
      <c r="A3494" s="10"/>
      <c r="B3494" s="10"/>
      <c r="C3494" s="10"/>
    </row>
    <row r="3495" spans="1:3" x14ac:dyDescent="0.25">
      <c r="A3495" s="10"/>
      <c r="B3495" s="10"/>
      <c r="C3495" s="10"/>
    </row>
    <row r="3496" spans="1:3" x14ac:dyDescent="0.25">
      <c r="A3496" s="10"/>
      <c r="B3496" s="10"/>
      <c r="C3496" s="10"/>
    </row>
    <row r="3497" spans="1:3" x14ac:dyDescent="0.25">
      <c r="A3497" s="10"/>
      <c r="B3497" s="10"/>
      <c r="C3497" s="10"/>
    </row>
    <row r="3498" spans="1:3" x14ac:dyDescent="0.25">
      <c r="A3498" s="10"/>
      <c r="B3498" s="10"/>
      <c r="C3498" s="10"/>
    </row>
    <row r="3499" spans="1:3" x14ac:dyDescent="0.25">
      <c r="A3499" s="10"/>
      <c r="B3499" s="10"/>
      <c r="C3499" s="10"/>
    </row>
    <row r="3500" spans="1:3" x14ac:dyDescent="0.25">
      <c r="A3500" s="10"/>
      <c r="B3500" s="10"/>
      <c r="C3500" s="10"/>
    </row>
    <row r="3501" spans="1:3" x14ac:dyDescent="0.25">
      <c r="A3501" s="10"/>
      <c r="B3501" s="10"/>
      <c r="C3501" s="10"/>
    </row>
    <row r="3502" spans="1:3" x14ac:dyDescent="0.25">
      <c r="A3502" s="10"/>
      <c r="B3502" s="10"/>
      <c r="C3502" s="10"/>
    </row>
    <row r="3503" spans="1:3" x14ac:dyDescent="0.25">
      <c r="A3503" s="10"/>
      <c r="B3503" s="10"/>
      <c r="C3503" s="10"/>
    </row>
    <row r="3504" spans="1:3" x14ac:dyDescent="0.25">
      <c r="A3504" s="10"/>
      <c r="B3504" s="10"/>
      <c r="C3504" s="10"/>
    </row>
    <row r="3505" spans="1:3" x14ac:dyDescent="0.25">
      <c r="A3505" s="10"/>
      <c r="B3505" s="10"/>
      <c r="C3505" s="10"/>
    </row>
    <row r="3506" spans="1:3" x14ac:dyDescent="0.25">
      <c r="A3506" s="10"/>
      <c r="B3506" s="10"/>
      <c r="C3506" s="10"/>
    </row>
    <row r="3507" spans="1:3" x14ac:dyDescent="0.25">
      <c r="A3507" s="10"/>
      <c r="B3507" s="10"/>
      <c r="C3507" s="10"/>
    </row>
    <row r="3508" spans="1:3" x14ac:dyDescent="0.25">
      <c r="A3508" s="10"/>
      <c r="B3508" s="10"/>
      <c r="C3508" s="10"/>
    </row>
    <row r="3509" spans="1:3" x14ac:dyDescent="0.25">
      <c r="A3509" s="10"/>
      <c r="B3509" s="10"/>
      <c r="C3509" s="10"/>
    </row>
    <row r="3510" spans="1:3" x14ac:dyDescent="0.25">
      <c r="A3510" s="10"/>
      <c r="B3510" s="10"/>
      <c r="C3510" s="10"/>
    </row>
    <row r="3511" spans="1:3" x14ac:dyDescent="0.25">
      <c r="A3511" s="10"/>
      <c r="B3511" s="10"/>
      <c r="C3511" s="10"/>
    </row>
    <row r="3512" spans="1:3" x14ac:dyDescent="0.25">
      <c r="A3512" s="10"/>
      <c r="B3512" s="10"/>
      <c r="C3512" s="10"/>
    </row>
    <row r="3513" spans="1:3" x14ac:dyDescent="0.25">
      <c r="A3513" s="10"/>
      <c r="B3513" s="10"/>
      <c r="C3513" s="10"/>
    </row>
    <row r="3514" spans="1:3" x14ac:dyDescent="0.25">
      <c r="A3514" s="10"/>
      <c r="B3514" s="10"/>
      <c r="C3514" s="10"/>
    </row>
    <row r="3515" spans="1:3" x14ac:dyDescent="0.25">
      <c r="A3515" s="10"/>
      <c r="B3515" s="10"/>
      <c r="C3515" s="10"/>
    </row>
    <row r="3516" spans="1:3" x14ac:dyDescent="0.25">
      <c r="A3516" s="10"/>
      <c r="B3516" s="10"/>
      <c r="C3516" s="10"/>
    </row>
    <row r="3517" spans="1:3" x14ac:dyDescent="0.25">
      <c r="A3517" s="10"/>
      <c r="B3517" s="10"/>
      <c r="C3517" s="10"/>
    </row>
    <row r="3518" spans="1:3" x14ac:dyDescent="0.25">
      <c r="A3518" s="10"/>
      <c r="B3518" s="10"/>
      <c r="C3518" s="10"/>
    </row>
    <row r="3519" spans="1:3" x14ac:dyDescent="0.25">
      <c r="A3519" s="10"/>
      <c r="B3519" s="10"/>
      <c r="C3519" s="10"/>
    </row>
    <row r="3520" spans="1:3" x14ac:dyDescent="0.25">
      <c r="A3520" s="10"/>
      <c r="B3520" s="10"/>
      <c r="C3520" s="10"/>
    </row>
    <row r="3521" spans="1:3" x14ac:dyDescent="0.25">
      <c r="A3521" s="10"/>
      <c r="B3521" s="10"/>
      <c r="C3521" s="10"/>
    </row>
    <row r="3522" spans="1:3" x14ac:dyDescent="0.25">
      <c r="A3522" s="10"/>
      <c r="B3522" s="10"/>
      <c r="C3522" s="10"/>
    </row>
    <row r="3523" spans="1:3" x14ac:dyDescent="0.25">
      <c r="A3523" s="10"/>
      <c r="B3523" s="10"/>
      <c r="C3523" s="10"/>
    </row>
    <row r="3524" spans="1:3" x14ac:dyDescent="0.25">
      <c r="A3524" s="10"/>
      <c r="B3524" s="10"/>
      <c r="C3524" s="10"/>
    </row>
    <row r="3525" spans="1:3" x14ac:dyDescent="0.25">
      <c r="A3525" s="10"/>
      <c r="B3525" s="10"/>
      <c r="C3525" s="10"/>
    </row>
    <row r="3526" spans="1:3" x14ac:dyDescent="0.25">
      <c r="A3526" s="10"/>
      <c r="B3526" s="10"/>
      <c r="C3526" s="10"/>
    </row>
    <row r="3527" spans="1:3" x14ac:dyDescent="0.25">
      <c r="A3527" s="10"/>
      <c r="B3527" s="10"/>
      <c r="C3527" s="10"/>
    </row>
    <row r="3528" spans="1:3" x14ac:dyDescent="0.25">
      <c r="A3528" s="10"/>
      <c r="B3528" s="10"/>
      <c r="C3528" s="10"/>
    </row>
    <row r="3529" spans="1:3" x14ac:dyDescent="0.25">
      <c r="A3529" s="10"/>
      <c r="B3529" s="10"/>
      <c r="C3529" s="10"/>
    </row>
    <row r="3530" spans="1:3" x14ac:dyDescent="0.25">
      <c r="A3530" s="10"/>
      <c r="B3530" s="10"/>
      <c r="C3530" s="10"/>
    </row>
    <row r="3531" spans="1:3" x14ac:dyDescent="0.25">
      <c r="A3531" s="10"/>
      <c r="B3531" s="10"/>
      <c r="C3531" s="10"/>
    </row>
    <row r="3532" spans="1:3" x14ac:dyDescent="0.25">
      <c r="A3532" s="10"/>
      <c r="B3532" s="10"/>
      <c r="C3532" s="10"/>
    </row>
    <row r="3533" spans="1:3" x14ac:dyDescent="0.25">
      <c r="A3533" s="10"/>
      <c r="B3533" s="10"/>
      <c r="C3533" s="10"/>
    </row>
    <row r="3534" spans="1:3" x14ac:dyDescent="0.25">
      <c r="A3534" s="10"/>
      <c r="B3534" s="10"/>
      <c r="C3534" s="10"/>
    </row>
    <row r="3535" spans="1:3" x14ac:dyDescent="0.25">
      <c r="A3535" s="10"/>
      <c r="B3535" s="10"/>
      <c r="C3535" s="10"/>
    </row>
    <row r="3536" spans="1:3" x14ac:dyDescent="0.25">
      <c r="A3536" s="10"/>
      <c r="B3536" s="10"/>
      <c r="C3536" s="10"/>
    </row>
    <row r="3537" spans="1:3" x14ac:dyDescent="0.25">
      <c r="A3537" s="10"/>
      <c r="B3537" s="10"/>
      <c r="C3537" s="10"/>
    </row>
    <row r="3538" spans="1:3" x14ac:dyDescent="0.25">
      <c r="A3538" s="10"/>
      <c r="B3538" s="10"/>
      <c r="C3538" s="10"/>
    </row>
    <row r="3539" spans="1:3" x14ac:dyDescent="0.25">
      <c r="A3539" s="10"/>
      <c r="B3539" s="10"/>
      <c r="C3539" s="10"/>
    </row>
    <row r="3540" spans="1:3" x14ac:dyDescent="0.25">
      <c r="A3540" s="10"/>
      <c r="B3540" s="10"/>
      <c r="C3540" s="10"/>
    </row>
    <row r="3541" spans="1:3" x14ac:dyDescent="0.25">
      <c r="A3541" s="10"/>
      <c r="B3541" s="10"/>
      <c r="C3541" s="10"/>
    </row>
    <row r="3542" spans="1:3" x14ac:dyDescent="0.25">
      <c r="A3542" s="10"/>
      <c r="B3542" s="10"/>
      <c r="C3542" s="10"/>
    </row>
    <row r="3543" spans="1:3" x14ac:dyDescent="0.25">
      <c r="A3543" s="10"/>
      <c r="B3543" s="10"/>
      <c r="C3543" s="10"/>
    </row>
    <row r="3544" spans="1:3" x14ac:dyDescent="0.25">
      <c r="A3544" s="10"/>
      <c r="B3544" s="10"/>
      <c r="C3544" s="10"/>
    </row>
    <row r="3545" spans="1:3" x14ac:dyDescent="0.25">
      <c r="A3545" s="10"/>
      <c r="B3545" s="10"/>
      <c r="C3545" s="10"/>
    </row>
    <row r="3546" spans="1:3" x14ac:dyDescent="0.25">
      <c r="A3546" s="10"/>
      <c r="B3546" s="10"/>
      <c r="C3546" s="10"/>
    </row>
    <row r="3547" spans="1:3" x14ac:dyDescent="0.25">
      <c r="A3547" s="10"/>
      <c r="B3547" s="10"/>
      <c r="C3547" s="10"/>
    </row>
    <row r="3548" spans="1:3" x14ac:dyDescent="0.25">
      <c r="A3548" s="10"/>
      <c r="B3548" s="10"/>
      <c r="C3548" s="10"/>
    </row>
    <row r="3549" spans="1:3" x14ac:dyDescent="0.25">
      <c r="A3549" s="10"/>
      <c r="B3549" s="10"/>
      <c r="C3549" s="10"/>
    </row>
    <row r="3550" spans="1:3" x14ac:dyDescent="0.25">
      <c r="A3550" s="10"/>
      <c r="B3550" s="10"/>
      <c r="C3550" s="10"/>
    </row>
    <row r="3551" spans="1:3" x14ac:dyDescent="0.25">
      <c r="A3551" s="10"/>
      <c r="B3551" s="10"/>
      <c r="C3551" s="10"/>
    </row>
    <row r="3552" spans="1:3" x14ac:dyDescent="0.25">
      <c r="A3552" s="10"/>
      <c r="B3552" s="10"/>
      <c r="C3552" s="10"/>
    </row>
    <row r="3553" spans="1:3" x14ac:dyDescent="0.25">
      <c r="A3553" s="10"/>
      <c r="B3553" s="10"/>
      <c r="C3553" s="10"/>
    </row>
    <row r="3554" spans="1:3" x14ac:dyDescent="0.25">
      <c r="A3554" s="10"/>
      <c r="B3554" s="10"/>
      <c r="C3554" s="10"/>
    </row>
    <row r="3555" spans="1:3" x14ac:dyDescent="0.25">
      <c r="A3555" s="10"/>
      <c r="B3555" s="10"/>
      <c r="C3555" s="10"/>
    </row>
    <row r="3556" spans="1:3" x14ac:dyDescent="0.25">
      <c r="A3556" s="10"/>
      <c r="B3556" s="10"/>
      <c r="C3556" s="10"/>
    </row>
    <row r="3557" spans="1:3" x14ac:dyDescent="0.25">
      <c r="A3557" s="10"/>
      <c r="B3557" s="10"/>
      <c r="C3557" s="10"/>
    </row>
    <row r="3558" spans="1:3" x14ac:dyDescent="0.25">
      <c r="A3558" s="10"/>
      <c r="B3558" s="10"/>
      <c r="C3558" s="10"/>
    </row>
    <row r="3559" spans="1:3" x14ac:dyDescent="0.25">
      <c r="A3559" s="10"/>
      <c r="B3559" s="10"/>
      <c r="C3559" s="10"/>
    </row>
    <row r="3560" spans="1:3" x14ac:dyDescent="0.25">
      <c r="A3560" s="10"/>
      <c r="B3560" s="10"/>
      <c r="C3560" s="10"/>
    </row>
    <row r="3561" spans="1:3" x14ac:dyDescent="0.25">
      <c r="A3561" s="10"/>
      <c r="B3561" s="10"/>
      <c r="C3561" s="10"/>
    </row>
    <row r="3562" spans="1:3" x14ac:dyDescent="0.25">
      <c r="A3562" s="10"/>
      <c r="B3562" s="10"/>
      <c r="C3562" s="10"/>
    </row>
    <row r="3563" spans="1:3" x14ac:dyDescent="0.25">
      <c r="A3563" s="10"/>
      <c r="B3563" s="10"/>
      <c r="C3563" s="10"/>
    </row>
    <row r="3564" spans="1:3" x14ac:dyDescent="0.25">
      <c r="A3564" s="10"/>
      <c r="B3564" s="10"/>
      <c r="C3564" s="10"/>
    </row>
    <row r="3565" spans="1:3" x14ac:dyDescent="0.25">
      <c r="A3565" s="10"/>
      <c r="B3565" s="10"/>
      <c r="C3565" s="10"/>
    </row>
    <row r="3566" spans="1:3" x14ac:dyDescent="0.25">
      <c r="A3566" s="10"/>
      <c r="B3566" s="10"/>
      <c r="C3566" s="10"/>
    </row>
    <row r="3567" spans="1:3" x14ac:dyDescent="0.25">
      <c r="A3567" s="10"/>
      <c r="B3567" s="10"/>
      <c r="C3567" s="10"/>
    </row>
    <row r="3568" spans="1:3" x14ac:dyDescent="0.25">
      <c r="A3568" s="10"/>
      <c r="B3568" s="10"/>
      <c r="C3568" s="10"/>
    </row>
    <row r="3569" spans="1:3" x14ac:dyDescent="0.25">
      <c r="A3569" s="10"/>
      <c r="B3569" s="10"/>
      <c r="C3569" s="10"/>
    </row>
    <row r="3570" spans="1:3" x14ac:dyDescent="0.25">
      <c r="A3570" s="10"/>
      <c r="B3570" s="10"/>
      <c r="C3570" s="10"/>
    </row>
    <row r="3571" spans="1:3" x14ac:dyDescent="0.25">
      <c r="A3571" s="10"/>
      <c r="B3571" s="10"/>
      <c r="C3571" s="10"/>
    </row>
    <row r="3572" spans="1:3" x14ac:dyDescent="0.25">
      <c r="A3572" s="10"/>
      <c r="B3572" s="10"/>
      <c r="C3572" s="10"/>
    </row>
    <row r="3573" spans="1:3" x14ac:dyDescent="0.25">
      <c r="A3573" s="10"/>
      <c r="B3573" s="10"/>
      <c r="C3573" s="10"/>
    </row>
    <row r="3574" spans="1:3" x14ac:dyDescent="0.25">
      <c r="A3574" s="10"/>
      <c r="B3574" s="10"/>
      <c r="C3574" s="10"/>
    </row>
    <row r="3575" spans="1:3" x14ac:dyDescent="0.25">
      <c r="A3575" s="10"/>
      <c r="B3575" s="10"/>
      <c r="C3575" s="10"/>
    </row>
    <row r="3576" spans="1:3" x14ac:dyDescent="0.25">
      <c r="A3576" s="10"/>
      <c r="B3576" s="10"/>
      <c r="C3576" s="10"/>
    </row>
    <row r="3577" spans="1:3" x14ac:dyDescent="0.25">
      <c r="A3577" s="10"/>
      <c r="B3577" s="10"/>
      <c r="C3577" s="10"/>
    </row>
    <row r="3578" spans="1:3" x14ac:dyDescent="0.25">
      <c r="A3578" s="10"/>
      <c r="B3578" s="10"/>
      <c r="C3578" s="10"/>
    </row>
    <row r="3579" spans="1:3" x14ac:dyDescent="0.25">
      <c r="A3579" s="10"/>
      <c r="B3579" s="10"/>
      <c r="C3579" s="10"/>
    </row>
    <row r="3580" spans="1:3" x14ac:dyDescent="0.25">
      <c r="A3580" s="10"/>
      <c r="B3580" s="10"/>
      <c r="C3580" s="10"/>
    </row>
    <row r="3581" spans="1:3" x14ac:dyDescent="0.25">
      <c r="A3581" s="10"/>
      <c r="B3581" s="10"/>
      <c r="C3581" s="10"/>
    </row>
    <row r="3582" spans="1:3" x14ac:dyDescent="0.25">
      <c r="A3582" s="10"/>
      <c r="B3582" s="10"/>
      <c r="C3582" s="10"/>
    </row>
    <row r="3583" spans="1:3" x14ac:dyDescent="0.25">
      <c r="A3583" s="10"/>
      <c r="B3583" s="10"/>
      <c r="C3583" s="10"/>
    </row>
    <row r="3584" spans="1:3" x14ac:dyDescent="0.25">
      <c r="A3584" s="10"/>
      <c r="B3584" s="10"/>
      <c r="C3584" s="10"/>
    </row>
    <row r="3585" spans="1:3" x14ac:dyDescent="0.25">
      <c r="A3585" s="10"/>
      <c r="B3585" s="10"/>
      <c r="C3585" s="10"/>
    </row>
    <row r="3586" spans="1:3" x14ac:dyDescent="0.25">
      <c r="A3586" s="10"/>
      <c r="B3586" s="10"/>
      <c r="C3586" s="10"/>
    </row>
    <row r="3587" spans="1:3" x14ac:dyDescent="0.25">
      <c r="A3587" s="10"/>
      <c r="B3587" s="10"/>
      <c r="C3587" s="10"/>
    </row>
    <row r="3588" spans="1:3" x14ac:dyDescent="0.25">
      <c r="A3588" s="10"/>
      <c r="B3588" s="10"/>
      <c r="C3588" s="10"/>
    </row>
    <row r="3589" spans="1:3" x14ac:dyDescent="0.25">
      <c r="A3589" s="10"/>
      <c r="B3589" s="10"/>
      <c r="C3589" s="10"/>
    </row>
    <row r="3590" spans="1:3" x14ac:dyDescent="0.25">
      <c r="A3590" s="10"/>
      <c r="B3590" s="10"/>
      <c r="C3590" s="10"/>
    </row>
    <row r="3591" spans="1:3" x14ac:dyDescent="0.25">
      <c r="A3591" s="10"/>
      <c r="B3591" s="10"/>
      <c r="C3591" s="10"/>
    </row>
    <row r="3592" spans="1:3" x14ac:dyDescent="0.25">
      <c r="A3592" s="10"/>
      <c r="B3592" s="10"/>
      <c r="C3592" s="10"/>
    </row>
    <row r="3593" spans="1:3" x14ac:dyDescent="0.25">
      <c r="A3593" s="10"/>
      <c r="B3593" s="10"/>
      <c r="C3593" s="10"/>
    </row>
    <row r="3594" spans="1:3" x14ac:dyDescent="0.25">
      <c r="A3594" s="10"/>
      <c r="B3594" s="10"/>
      <c r="C3594" s="10"/>
    </row>
    <row r="3595" spans="1:3" x14ac:dyDescent="0.25">
      <c r="A3595" s="10"/>
      <c r="B3595" s="10"/>
      <c r="C3595" s="10"/>
    </row>
    <row r="3596" spans="1:3" x14ac:dyDescent="0.25">
      <c r="A3596" s="10"/>
      <c r="B3596" s="10"/>
      <c r="C3596" s="10"/>
    </row>
    <row r="3597" spans="1:3" x14ac:dyDescent="0.25">
      <c r="A3597" s="10"/>
      <c r="B3597" s="10"/>
      <c r="C3597" s="10"/>
    </row>
    <row r="3598" spans="1:3" x14ac:dyDescent="0.25">
      <c r="A3598" s="10"/>
      <c r="B3598" s="10"/>
      <c r="C3598" s="10"/>
    </row>
    <row r="3599" spans="1:3" x14ac:dyDescent="0.25">
      <c r="A3599" s="10"/>
      <c r="B3599" s="10"/>
      <c r="C3599" s="10"/>
    </row>
    <row r="3600" spans="1:3" x14ac:dyDescent="0.25">
      <c r="A3600" s="10"/>
      <c r="B3600" s="10"/>
      <c r="C3600" s="10"/>
    </row>
    <row r="3601" spans="1:3" x14ac:dyDescent="0.25">
      <c r="A3601" s="10"/>
      <c r="B3601" s="10"/>
      <c r="C3601" s="10"/>
    </row>
    <row r="3602" spans="1:3" x14ac:dyDescent="0.25">
      <c r="A3602" s="10"/>
      <c r="B3602" s="10"/>
      <c r="C3602" s="10"/>
    </row>
    <row r="3603" spans="1:3" x14ac:dyDescent="0.25">
      <c r="A3603" s="10"/>
      <c r="B3603" s="10"/>
      <c r="C3603" s="10"/>
    </row>
    <row r="3604" spans="1:3" x14ac:dyDescent="0.25">
      <c r="A3604" s="10"/>
      <c r="B3604" s="10"/>
      <c r="C3604" s="10"/>
    </row>
    <row r="3605" spans="1:3" x14ac:dyDescent="0.25">
      <c r="A3605" s="10"/>
      <c r="B3605" s="10"/>
      <c r="C3605" s="10"/>
    </row>
    <row r="3606" spans="1:3" x14ac:dyDescent="0.25">
      <c r="A3606" s="10"/>
      <c r="B3606" s="10"/>
      <c r="C3606" s="10"/>
    </row>
    <row r="3607" spans="1:3" x14ac:dyDescent="0.25">
      <c r="A3607" s="10"/>
      <c r="B3607" s="10"/>
      <c r="C3607" s="10"/>
    </row>
    <row r="3608" spans="1:3" x14ac:dyDescent="0.25">
      <c r="A3608" s="10"/>
      <c r="B3608" s="10"/>
      <c r="C3608" s="10"/>
    </row>
    <row r="3609" spans="1:3" x14ac:dyDescent="0.25">
      <c r="A3609" s="10"/>
      <c r="B3609" s="10"/>
      <c r="C3609" s="10"/>
    </row>
    <row r="3610" spans="1:3" x14ac:dyDescent="0.25">
      <c r="A3610" s="10"/>
      <c r="B3610" s="10"/>
      <c r="C3610" s="10"/>
    </row>
    <row r="3611" spans="1:3" x14ac:dyDescent="0.25">
      <c r="A3611" s="10"/>
      <c r="B3611" s="10"/>
      <c r="C3611" s="10"/>
    </row>
    <row r="3612" spans="1:3" x14ac:dyDescent="0.25">
      <c r="A3612" s="10"/>
      <c r="B3612" s="10"/>
      <c r="C3612" s="10"/>
    </row>
    <row r="3613" spans="1:3" x14ac:dyDescent="0.25">
      <c r="A3613" s="10"/>
      <c r="B3613" s="10"/>
      <c r="C3613" s="10"/>
    </row>
    <row r="3614" spans="1:3" x14ac:dyDescent="0.25">
      <c r="A3614" s="10"/>
      <c r="B3614" s="10"/>
      <c r="C3614" s="10"/>
    </row>
    <row r="3615" spans="1:3" x14ac:dyDescent="0.25">
      <c r="A3615" s="10"/>
      <c r="B3615" s="10"/>
      <c r="C3615" s="10"/>
    </row>
    <row r="3616" spans="1:3" x14ac:dyDescent="0.25">
      <c r="A3616" s="10"/>
      <c r="B3616" s="10"/>
      <c r="C3616" s="10"/>
    </row>
    <row r="3617" spans="1:3" x14ac:dyDescent="0.25">
      <c r="A3617" s="10"/>
      <c r="B3617" s="10"/>
      <c r="C3617" s="10"/>
    </row>
    <row r="3618" spans="1:3" x14ac:dyDescent="0.25">
      <c r="A3618" s="10"/>
      <c r="B3618" s="10"/>
      <c r="C3618" s="10"/>
    </row>
    <row r="3619" spans="1:3" x14ac:dyDescent="0.25">
      <c r="A3619" s="10"/>
      <c r="B3619" s="10"/>
      <c r="C3619" s="10"/>
    </row>
    <row r="3620" spans="1:3" x14ac:dyDescent="0.25">
      <c r="A3620" s="10"/>
      <c r="B3620" s="10"/>
      <c r="C3620" s="10"/>
    </row>
    <row r="3621" spans="1:3" x14ac:dyDescent="0.25">
      <c r="A3621" s="10"/>
      <c r="B3621" s="10"/>
      <c r="C3621" s="10"/>
    </row>
    <row r="3622" spans="1:3" x14ac:dyDescent="0.25">
      <c r="A3622" s="10"/>
      <c r="B3622" s="10"/>
      <c r="C3622" s="10"/>
    </row>
    <row r="3623" spans="1:3" x14ac:dyDescent="0.25">
      <c r="A3623" s="10"/>
      <c r="B3623" s="10"/>
      <c r="C3623" s="10"/>
    </row>
    <row r="3624" spans="1:3" x14ac:dyDescent="0.25">
      <c r="A3624" s="10"/>
      <c r="B3624" s="10"/>
      <c r="C3624" s="10"/>
    </row>
    <row r="3625" spans="1:3" x14ac:dyDescent="0.25">
      <c r="A3625" s="10"/>
      <c r="B3625" s="10"/>
      <c r="C3625" s="10"/>
    </row>
    <row r="3626" spans="1:3" x14ac:dyDescent="0.25">
      <c r="A3626" s="10"/>
      <c r="B3626" s="10"/>
      <c r="C3626" s="10"/>
    </row>
    <row r="3627" spans="1:3" x14ac:dyDescent="0.25">
      <c r="A3627" s="10"/>
      <c r="B3627" s="10"/>
      <c r="C3627" s="10"/>
    </row>
    <row r="3628" spans="1:3" x14ac:dyDescent="0.25">
      <c r="A3628" s="10"/>
      <c r="B3628" s="10"/>
      <c r="C3628" s="10"/>
    </row>
    <row r="3629" spans="1:3" x14ac:dyDescent="0.25">
      <c r="A3629" s="10"/>
      <c r="B3629" s="10"/>
      <c r="C3629" s="10"/>
    </row>
    <row r="3630" spans="1:3" x14ac:dyDescent="0.25">
      <c r="A3630" s="10"/>
      <c r="B3630" s="10"/>
      <c r="C3630" s="10"/>
    </row>
    <row r="3631" spans="1:3" x14ac:dyDescent="0.25">
      <c r="A3631" s="10"/>
      <c r="B3631" s="10"/>
      <c r="C3631" s="10"/>
    </row>
    <row r="3632" spans="1:3" x14ac:dyDescent="0.25">
      <c r="A3632" s="10"/>
      <c r="B3632" s="10"/>
      <c r="C3632" s="10"/>
    </row>
    <row r="3633" spans="1:3" x14ac:dyDescent="0.25">
      <c r="A3633" s="10"/>
      <c r="B3633" s="10"/>
      <c r="C3633" s="10"/>
    </row>
    <row r="3634" spans="1:3" x14ac:dyDescent="0.25">
      <c r="A3634" s="10"/>
      <c r="B3634" s="10"/>
      <c r="C3634" s="10"/>
    </row>
    <row r="3635" spans="1:3" x14ac:dyDescent="0.25">
      <c r="A3635" s="10"/>
      <c r="B3635" s="10"/>
      <c r="C3635" s="10"/>
    </row>
    <row r="3636" spans="1:3" x14ac:dyDescent="0.25">
      <c r="A3636" s="10"/>
      <c r="B3636" s="10"/>
      <c r="C3636" s="10"/>
    </row>
    <row r="3637" spans="1:3" x14ac:dyDescent="0.25">
      <c r="A3637" s="10"/>
      <c r="B3637" s="10"/>
      <c r="C3637" s="10"/>
    </row>
    <row r="3638" spans="1:3" x14ac:dyDescent="0.25">
      <c r="A3638" s="10"/>
      <c r="B3638" s="10"/>
      <c r="C3638" s="10"/>
    </row>
    <row r="3639" spans="1:3" x14ac:dyDescent="0.25">
      <c r="A3639" s="10"/>
      <c r="B3639" s="10"/>
      <c r="C3639" s="10"/>
    </row>
    <row r="3640" spans="1:3" x14ac:dyDescent="0.25">
      <c r="A3640" s="10"/>
      <c r="B3640" s="10"/>
      <c r="C3640" s="10"/>
    </row>
    <row r="3641" spans="1:3" x14ac:dyDescent="0.25">
      <c r="A3641" s="10"/>
      <c r="B3641" s="10"/>
      <c r="C3641" s="10"/>
    </row>
    <row r="3642" spans="1:3" x14ac:dyDescent="0.25">
      <c r="A3642" s="10"/>
      <c r="B3642" s="10"/>
      <c r="C3642" s="10"/>
    </row>
    <row r="3643" spans="1:3" x14ac:dyDescent="0.25">
      <c r="A3643" s="10"/>
      <c r="B3643" s="10"/>
      <c r="C3643" s="10"/>
    </row>
    <row r="3644" spans="1:3" x14ac:dyDescent="0.25">
      <c r="A3644" s="10"/>
      <c r="B3644" s="10"/>
      <c r="C3644" s="10"/>
    </row>
    <row r="3645" spans="1:3" x14ac:dyDescent="0.25">
      <c r="A3645" s="10"/>
      <c r="B3645" s="10"/>
      <c r="C3645" s="10"/>
    </row>
    <row r="3646" spans="1:3" x14ac:dyDescent="0.25">
      <c r="A3646" s="10"/>
      <c r="B3646" s="10"/>
      <c r="C3646" s="10"/>
    </row>
    <row r="3647" spans="1:3" x14ac:dyDescent="0.25">
      <c r="A3647" s="10"/>
      <c r="B3647" s="10"/>
      <c r="C3647" s="10"/>
    </row>
    <row r="3648" spans="1:3" x14ac:dyDescent="0.25">
      <c r="A3648" s="10"/>
      <c r="B3648" s="10"/>
      <c r="C3648" s="10"/>
    </row>
    <row r="3649" spans="1:3" x14ac:dyDescent="0.25">
      <c r="A3649" s="10"/>
      <c r="B3649" s="10"/>
      <c r="C3649" s="10"/>
    </row>
    <row r="3650" spans="1:3" x14ac:dyDescent="0.25">
      <c r="A3650" s="10"/>
      <c r="B3650" s="10"/>
      <c r="C3650" s="10"/>
    </row>
    <row r="3651" spans="1:3" x14ac:dyDescent="0.25">
      <c r="A3651" s="10"/>
      <c r="B3651" s="10"/>
      <c r="C3651" s="10"/>
    </row>
    <row r="3652" spans="1:3" x14ac:dyDescent="0.25">
      <c r="A3652" s="10"/>
      <c r="B3652" s="10"/>
      <c r="C3652" s="10"/>
    </row>
    <row r="3653" spans="1:3" x14ac:dyDescent="0.25">
      <c r="A3653" s="10"/>
      <c r="B3653" s="10"/>
      <c r="C3653" s="10"/>
    </row>
    <row r="3654" spans="1:3" x14ac:dyDescent="0.25">
      <c r="A3654" s="10"/>
      <c r="B3654" s="10"/>
      <c r="C3654" s="10"/>
    </row>
    <row r="3655" spans="1:3" x14ac:dyDescent="0.25">
      <c r="A3655" s="10"/>
      <c r="B3655" s="10"/>
      <c r="C3655" s="10"/>
    </row>
    <row r="3656" spans="1:3" x14ac:dyDescent="0.25">
      <c r="A3656" s="10"/>
      <c r="B3656" s="10"/>
      <c r="C3656" s="10"/>
    </row>
    <row r="3657" spans="1:3" x14ac:dyDescent="0.25">
      <c r="A3657" s="10"/>
      <c r="B3657" s="10"/>
      <c r="C3657" s="10"/>
    </row>
    <row r="3658" spans="1:3" x14ac:dyDescent="0.25">
      <c r="A3658" s="10"/>
      <c r="B3658" s="10"/>
      <c r="C3658" s="10"/>
    </row>
    <row r="3659" spans="1:3" x14ac:dyDescent="0.25">
      <c r="A3659" s="10"/>
      <c r="B3659" s="10"/>
      <c r="C3659" s="10"/>
    </row>
    <row r="3660" spans="1:3" x14ac:dyDescent="0.25">
      <c r="A3660" s="10"/>
      <c r="B3660" s="10"/>
      <c r="C3660" s="10"/>
    </row>
    <row r="3661" spans="1:3" x14ac:dyDescent="0.25">
      <c r="A3661" s="10"/>
      <c r="B3661" s="10"/>
      <c r="C3661" s="10"/>
    </row>
    <row r="3662" spans="1:3" x14ac:dyDescent="0.25">
      <c r="A3662" s="10"/>
      <c r="B3662" s="10"/>
      <c r="C3662" s="10"/>
    </row>
    <row r="3663" spans="1:3" x14ac:dyDescent="0.25">
      <c r="A3663" s="10"/>
      <c r="B3663" s="10"/>
      <c r="C3663" s="10"/>
    </row>
    <row r="3664" spans="1:3" x14ac:dyDescent="0.25">
      <c r="A3664" s="10"/>
      <c r="B3664" s="10"/>
      <c r="C3664" s="10"/>
    </row>
    <row r="3665" spans="1:3" x14ac:dyDescent="0.25">
      <c r="A3665" s="10"/>
      <c r="B3665" s="10"/>
      <c r="C3665" s="10"/>
    </row>
    <row r="3666" spans="1:3" x14ac:dyDescent="0.25">
      <c r="A3666" s="10"/>
      <c r="B3666" s="10"/>
      <c r="C3666" s="10"/>
    </row>
    <row r="3667" spans="1:3" x14ac:dyDescent="0.25">
      <c r="A3667" s="10"/>
      <c r="B3667" s="10"/>
      <c r="C3667" s="10"/>
    </row>
    <row r="3668" spans="1:3" x14ac:dyDescent="0.25">
      <c r="A3668" s="10"/>
      <c r="B3668" s="10"/>
      <c r="C3668" s="10"/>
    </row>
    <row r="3669" spans="1:3" x14ac:dyDescent="0.25">
      <c r="A3669" s="10"/>
      <c r="B3669" s="10"/>
      <c r="C3669" s="10"/>
    </row>
    <row r="3670" spans="1:3" x14ac:dyDescent="0.25">
      <c r="A3670" s="10"/>
      <c r="B3670" s="10"/>
      <c r="C3670" s="10"/>
    </row>
    <row r="3671" spans="1:3" x14ac:dyDescent="0.25">
      <c r="A3671" s="10"/>
      <c r="B3671" s="10"/>
      <c r="C3671" s="10"/>
    </row>
    <row r="3672" spans="1:3" x14ac:dyDescent="0.25">
      <c r="A3672" s="10"/>
      <c r="B3672" s="10"/>
      <c r="C3672" s="10"/>
    </row>
    <row r="3673" spans="1:3" x14ac:dyDescent="0.25">
      <c r="A3673" s="10"/>
      <c r="B3673" s="10"/>
      <c r="C3673" s="10"/>
    </row>
    <row r="3674" spans="1:3" x14ac:dyDescent="0.25">
      <c r="A3674" s="10"/>
      <c r="B3674" s="10"/>
      <c r="C3674" s="10"/>
    </row>
    <row r="3675" spans="1:3" x14ac:dyDescent="0.25">
      <c r="A3675" s="10"/>
      <c r="B3675" s="10"/>
      <c r="C3675" s="10"/>
    </row>
    <row r="3676" spans="1:3" x14ac:dyDescent="0.25">
      <c r="A3676" s="10"/>
      <c r="B3676" s="10"/>
      <c r="C3676" s="10"/>
    </row>
    <row r="3677" spans="1:3" x14ac:dyDescent="0.25">
      <c r="A3677" s="10"/>
      <c r="B3677" s="10"/>
      <c r="C3677" s="10"/>
    </row>
    <row r="3678" spans="1:3" x14ac:dyDescent="0.25">
      <c r="A3678" s="10"/>
      <c r="B3678" s="10"/>
      <c r="C3678" s="10"/>
    </row>
    <row r="3679" spans="1:3" x14ac:dyDescent="0.25">
      <c r="A3679" s="10"/>
      <c r="B3679" s="10"/>
      <c r="C3679" s="10"/>
    </row>
    <row r="3680" spans="1:3" x14ac:dyDescent="0.25">
      <c r="A3680" s="10"/>
      <c r="B3680" s="10"/>
      <c r="C3680" s="10"/>
    </row>
    <row r="3681" spans="1:3" x14ac:dyDescent="0.25">
      <c r="A3681" s="10"/>
      <c r="B3681" s="10"/>
      <c r="C3681" s="10"/>
    </row>
    <row r="3682" spans="1:3" x14ac:dyDescent="0.25">
      <c r="A3682" s="10"/>
      <c r="B3682" s="10"/>
      <c r="C3682" s="10"/>
    </row>
    <row r="3683" spans="1:3" x14ac:dyDescent="0.25">
      <c r="A3683" s="10"/>
      <c r="B3683" s="10"/>
      <c r="C3683" s="10"/>
    </row>
    <row r="3684" spans="1:3" x14ac:dyDescent="0.25">
      <c r="A3684" s="10"/>
      <c r="B3684" s="10"/>
      <c r="C3684" s="10"/>
    </row>
    <row r="3685" spans="1:3" x14ac:dyDescent="0.25">
      <c r="A3685" s="10"/>
      <c r="B3685" s="10"/>
      <c r="C3685" s="10"/>
    </row>
    <row r="3686" spans="1:3" x14ac:dyDescent="0.25">
      <c r="A3686" s="10"/>
      <c r="B3686" s="10"/>
      <c r="C3686" s="10"/>
    </row>
    <row r="3687" spans="1:3" x14ac:dyDescent="0.25">
      <c r="A3687" s="10"/>
      <c r="B3687" s="10"/>
      <c r="C3687" s="10"/>
    </row>
    <row r="3688" spans="1:3" x14ac:dyDescent="0.25">
      <c r="A3688" s="10"/>
      <c r="B3688" s="10"/>
      <c r="C3688" s="10"/>
    </row>
    <row r="3689" spans="1:3" x14ac:dyDescent="0.25">
      <c r="A3689" s="10"/>
      <c r="B3689" s="10"/>
      <c r="C3689" s="10"/>
    </row>
    <row r="3690" spans="1:3" x14ac:dyDescent="0.25">
      <c r="A3690" s="10"/>
      <c r="B3690" s="10"/>
      <c r="C3690" s="10"/>
    </row>
    <row r="3691" spans="1:3" x14ac:dyDescent="0.25">
      <c r="A3691" s="10"/>
      <c r="B3691" s="10"/>
      <c r="C3691" s="10"/>
    </row>
    <row r="3692" spans="1:3" x14ac:dyDescent="0.25">
      <c r="A3692" s="10"/>
      <c r="B3692" s="10"/>
      <c r="C3692" s="10"/>
    </row>
    <row r="3693" spans="1:3" x14ac:dyDescent="0.25">
      <c r="A3693" s="10"/>
      <c r="B3693" s="10"/>
      <c r="C3693" s="10"/>
    </row>
    <row r="3694" spans="1:3" x14ac:dyDescent="0.25">
      <c r="A3694" s="10"/>
      <c r="B3694" s="10"/>
      <c r="C3694" s="10"/>
    </row>
    <row r="3695" spans="1:3" x14ac:dyDescent="0.25">
      <c r="A3695" s="10"/>
      <c r="B3695" s="10"/>
      <c r="C3695" s="10"/>
    </row>
    <row r="3696" spans="1:3" x14ac:dyDescent="0.25">
      <c r="A3696" s="10"/>
      <c r="B3696" s="10"/>
      <c r="C3696" s="10"/>
    </row>
    <row r="3697" spans="1:3" x14ac:dyDescent="0.25">
      <c r="A3697" s="10"/>
      <c r="B3697" s="10"/>
      <c r="C3697" s="10"/>
    </row>
    <row r="3698" spans="1:3" x14ac:dyDescent="0.25">
      <c r="A3698" s="10"/>
      <c r="B3698" s="10"/>
      <c r="C3698" s="10"/>
    </row>
    <row r="3699" spans="1:3" x14ac:dyDescent="0.25">
      <c r="A3699" s="10"/>
      <c r="B3699" s="10"/>
      <c r="C3699" s="10"/>
    </row>
    <row r="3700" spans="1:3" x14ac:dyDescent="0.25">
      <c r="A3700" s="10"/>
      <c r="B3700" s="10"/>
      <c r="C3700" s="10"/>
    </row>
    <row r="3701" spans="1:3" x14ac:dyDescent="0.25">
      <c r="A3701" s="10"/>
      <c r="B3701" s="10"/>
      <c r="C3701" s="10"/>
    </row>
    <row r="3702" spans="1:3" x14ac:dyDescent="0.25">
      <c r="A3702" s="10"/>
      <c r="B3702" s="10"/>
      <c r="C3702" s="10"/>
    </row>
    <row r="3703" spans="1:3" x14ac:dyDescent="0.25">
      <c r="A3703" s="10"/>
      <c r="B3703" s="10"/>
      <c r="C3703" s="10"/>
    </row>
    <row r="3704" spans="1:3" x14ac:dyDescent="0.25">
      <c r="A3704" s="10"/>
      <c r="B3704" s="10"/>
      <c r="C3704" s="10"/>
    </row>
    <row r="3705" spans="1:3" x14ac:dyDescent="0.25">
      <c r="A3705" s="10"/>
      <c r="B3705" s="10"/>
      <c r="C3705" s="10"/>
    </row>
    <row r="3706" spans="1:3" x14ac:dyDescent="0.25">
      <c r="A3706" s="10"/>
      <c r="B3706" s="10"/>
      <c r="C3706" s="10"/>
    </row>
    <row r="3707" spans="1:3" x14ac:dyDescent="0.25">
      <c r="A3707" s="10"/>
      <c r="B3707" s="10"/>
      <c r="C3707" s="10"/>
    </row>
    <row r="3708" spans="1:3" x14ac:dyDescent="0.25">
      <c r="A3708" s="10"/>
      <c r="B3708" s="10"/>
      <c r="C3708" s="10"/>
    </row>
    <row r="3709" spans="1:3" x14ac:dyDescent="0.25">
      <c r="A3709" s="10"/>
      <c r="B3709" s="10"/>
      <c r="C3709" s="10"/>
    </row>
    <row r="3710" spans="1:3" x14ac:dyDescent="0.25">
      <c r="A3710" s="10"/>
      <c r="B3710" s="10"/>
      <c r="C3710" s="10"/>
    </row>
    <row r="3711" spans="1:3" x14ac:dyDescent="0.25">
      <c r="A3711" s="10"/>
      <c r="B3711" s="10"/>
      <c r="C3711" s="10"/>
    </row>
    <row r="3712" spans="1:3" x14ac:dyDescent="0.25">
      <c r="A3712" s="10"/>
      <c r="B3712" s="10"/>
      <c r="C3712" s="10"/>
    </row>
    <row r="3713" spans="1:3" x14ac:dyDescent="0.25">
      <c r="A3713" s="10"/>
      <c r="B3713" s="10"/>
      <c r="C3713" s="10"/>
    </row>
    <row r="3714" spans="1:3" x14ac:dyDescent="0.25">
      <c r="A3714" s="10"/>
      <c r="B3714" s="10"/>
      <c r="C3714" s="10"/>
    </row>
    <row r="3715" spans="1:3" x14ac:dyDescent="0.25">
      <c r="A3715" s="10"/>
      <c r="B3715" s="10"/>
      <c r="C3715" s="10"/>
    </row>
    <row r="3716" spans="1:3" x14ac:dyDescent="0.25">
      <c r="A3716" s="10"/>
      <c r="B3716" s="10"/>
      <c r="C3716" s="10"/>
    </row>
    <row r="3717" spans="1:3" x14ac:dyDescent="0.25">
      <c r="A3717" s="10"/>
      <c r="B3717" s="10"/>
      <c r="C3717" s="10"/>
    </row>
    <row r="3718" spans="1:3" x14ac:dyDescent="0.25">
      <c r="A3718" s="10"/>
      <c r="B3718" s="10"/>
      <c r="C3718" s="10"/>
    </row>
    <row r="3719" spans="1:3" x14ac:dyDescent="0.25">
      <c r="A3719" s="10"/>
      <c r="B3719" s="10"/>
      <c r="C3719" s="10"/>
    </row>
    <row r="3720" spans="1:3" x14ac:dyDescent="0.25">
      <c r="A3720" s="10"/>
      <c r="B3720" s="10"/>
      <c r="C3720" s="10"/>
    </row>
    <row r="3721" spans="1:3" x14ac:dyDescent="0.25">
      <c r="A3721" s="10"/>
      <c r="B3721" s="10"/>
      <c r="C3721" s="10"/>
    </row>
    <row r="3722" spans="1:3" x14ac:dyDescent="0.25">
      <c r="A3722" s="10"/>
      <c r="B3722" s="10"/>
      <c r="C3722" s="10"/>
    </row>
    <row r="3723" spans="1:3" x14ac:dyDescent="0.25">
      <c r="A3723" s="10"/>
      <c r="B3723" s="10"/>
      <c r="C3723" s="10"/>
    </row>
    <row r="3724" spans="1:3" x14ac:dyDescent="0.25">
      <c r="A3724" s="10"/>
      <c r="B3724" s="10"/>
      <c r="C3724" s="10"/>
    </row>
    <row r="3725" spans="1:3" x14ac:dyDescent="0.25">
      <c r="A3725" s="10"/>
      <c r="B3725" s="10"/>
      <c r="C3725" s="10"/>
    </row>
    <row r="3726" spans="1:3" x14ac:dyDescent="0.25">
      <c r="A3726" s="10"/>
      <c r="B3726" s="10"/>
      <c r="C3726" s="10"/>
    </row>
    <row r="3727" spans="1:3" x14ac:dyDescent="0.25">
      <c r="A3727" s="10"/>
      <c r="B3727" s="10"/>
      <c r="C3727" s="10"/>
    </row>
    <row r="3728" spans="1:3" x14ac:dyDescent="0.25">
      <c r="A3728" s="10"/>
      <c r="B3728" s="10"/>
      <c r="C3728" s="10"/>
    </row>
    <row r="3729" spans="1:3" x14ac:dyDescent="0.25">
      <c r="A3729" s="10"/>
      <c r="B3729" s="10"/>
      <c r="C3729" s="10"/>
    </row>
    <row r="3730" spans="1:3" x14ac:dyDescent="0.25">
      <c r="A3730" s="10"/>
      <c r="B3730" s="10"/>
      <c r="C3730" s="10"/>
    </row>
    <row r="3731" spans="1:3" x14ac:dyDescent="0.25">
      <c r="A3731" s="10"/>
      <c r="B3731" s="10"/>
      <c r="C3731" s="10"/>
    </row>
    <row r="3732" spans="1:3" x14ac:dyDescent="0.25">
      <c r="A3732" s="10"/>
      <c r="B3732" s="10"/>
      <c r="C3732" s="10"/>
    </row>
    <row r="3733" spans="1:3" x14ac:dyDescent="0.25">
      <c r="A3733" s="10"/>
      <c r="B3733" s="10"/>
      <c r="C3733" s="10"/>
    </row>
    <row r="3734" spans="1:3" x14ac:dyDescent="0.25">
      <c r="A3734" s="10"/>
      <c r="B3734" s="10"/>
      <c r="C3734" s="10"/>
    </row>
    <row r="3735" spans="1:3" x14ac:dyDescent="0.25">
      <c r="A3735" s="10"/>
      <c r="B3735" s="10"/>
      <c r="C3735" s="10"/>
    </row>
    <row r="3736" spans="1:3" x14ac:dyDescent="0.25">
      <c r="A3736" s="10"/>
      <c r="B3736" s="10"/>
      <c r="C3736" s="10"/>
    </row>
    <row r="3737" spans="1:3" x14ac:dyDescent="0.25">
      <c r="A3737" s="10"/>
      <c r="B3737" s="10"/>
      <c r="C3737" s="10"/>
    </row>
    <row r="3738" spans="1:3" x14ac:dyDescent="0.25">
      <c r="A3738" s="10"/>
      <c r="B3738" s="10"/>
      <c r="C3738" s="10"/>
    </row>
    <row r="3739" spans="1:3" x14ac:dyDescent="0.25">
      <c r="A3739" s="10"/>
      <c r="B3739" s="10"/>
      <c r="C3739" s="10"/>
    </row>
    <row r="3740" spans="1:3" x14ac:dyDescent="0.25">
      <c r="A3740" s="10"/>
      <c r="B3740" s="10"/>
      <c r="C3740" s="10"/>
    </row>
    <row r="3741" spans="1:3" x14ac:dyDescent="0.25">
      <c r="A3741" s="10"/>
      <c r="B3741" s="10"/>
      <c r="C3741" s="10"/>
    </row>
    <row r="3742" spans="1:3" x14ac:dyDescent="0.25">
      <c r="A3742" s="10"/>
      <c r="B3742" s="10"/>
      <c r="C3742" s="10"/>
    </row>
    <row r="3743" spans="1:3" x14ac:dyDescent="0.25">
      <c r="A3743" s="10"/>
      <c r="B3743" s="10"/>
      <c r="C3743" s="10"/>
    </row>
    <row r="3744" spans="1:3" x14ac:dyDescent="0.25">
      <c r="A3744" s="10"/>
      <c r="B3744" s="10"/>
      <c r="C3744" s="10"/>
    </row>
    <row r="3745" spans="1:3" x14ac:dyDescent="0.25">
      <c r="A3745" s="10"/>
      <c r="B3745" s="10"/>
      <c r="C3745" s="10"/>
    </row>
    <row r="3746" spans="1:3" x14ac:dyDescent="0.25">
      <c r="A3746" s="10"/>
      <c r="B3746" s="10"/>
      <c r="C3746" s="10"/>
    </row>
    <row r="3747" spans="1:3" x14ac:dyDescent="0.25">
      <c r="A3747" s="10"/>
      <c r="B3747" s="10"/>
      <c r="C3747" s="10"/>
    </row>
    <row r="3748" spans="1:3" x14ac:dyDescent="0.25">
      <c r="A3748" s="10"/>
      <c r="B3748" s="10"/>
      <c r="C3748" s="10"/>
    </row>
    <row r="3749" spans="1:3" x14ac:dyDescent="0.25">
      <c r="A3749" s="10"/>
      <c r="B3749" s="10"/>
      <c r="C3749" s="10"/>
    </row>
    <row r="3750" spans="1:3" x14ac:dyDescent="0.25">
      <c r="A3750" s="10"/>
      <c r="B3750" s="10"/>
      <c r="C3750" s="10"/>
    </row>
    <row r="3751" spans="1:3" x14ac:dyDescent="0.25">
      <c r="A3751" s="10"/>
      <c r="B3751" s="10"/>
      <c r="C3751" s="10"/>
    </row>
    <row r="3752" spans="1:3" x14ac:dyDescent="0.25">
      <c r="A3752" s="10"/>
      <c r="B3752" s="10"/>
      <c r="C3752" s="10"/>
    </row>
    <row r="3753" spans="1:3" x14ac:dyDescent="0.25">
      <c r="A3753" s="10"/>
      <c r="B3753" s="10"/>
      <c r="C3753" s="10"/>
    </row>
    <row r="3754" spans="1:3" x14ac:dyDescent="0.25">
      <c r="A3754" s="10"/>
      <c r="B3754" s="10"/>
      <c r="C3754" s="10"/>
    </row>
    <row r="3755" spans="1:3" x14ac:dyDescent="0.25">
      <c r="A3755" s="10"/>
      <c r="B3755" s="10"/>
      <c r="C3755" s="10"/>
    </row>
    <row r="3756" spans="1:3" x14ac:dyDescent="0.25">
      <c r="A3756" s="10"/>
      <c r="B3756" s="10"/>
      <c r="C3756" s="10"/>
    </row>
    <row r="3757" spans="1:3" x14ac:dyDescent="0.25">
      <c r="A3757" s="10"/>
      <c r="B3757" s="10"/>
      <c r="C3757" s="10"/>
    </row>
    <row r="3758" spans="1:3" x14ac:dyDescent="0.25">
      <c r="A3758" s="10"/>
      <c r="B3758" s="10"/>
      <c r="C3758" s="10"/>
    </row>
    <row r="3759" spans="1:3" x14ac:dyDescent="0.25">
      <c r="A3759" s="10"/>
      <c r="B3759" s="10"/>
      <c r="C3759" s="10"/>
    </row>
    <row r="3760" spans="1:3" x14ac:dyDescent="0.25">
      <c r="A3760" s="10"/>
      <c r="B3760" s="10"/>
      <c r="C3760" s="10"/>
    </row>
    <row r="3761" spans="1:3" x14ac:dyDescent="0.25">
      <c r="A3761" s="10"/>
      <c r="B3761" s="10"/>
      <c r="C3761" s="10"/>
    </row>
    <row r="3762" spans="1:3" x14ac:dyDescent="0.25">
      <c r="A3762" s="10"/>
      <c r="B3762" s="10"/>
      <c r="C3762" s="10"/>
    </row>
    <row r="3763" spans="1:3" x14ac:dyDescent="0.25">
      <c r="A3763" s="10"/>
      <c r="B3763" s="10"/>
      <c r="C3763" s="10"/>
    </row>
    <row r="3764" spans="1:3" x14ac:dyDescent="0.25">
      <c r="A3764" s="10"/>
      <c r="B3764" s="10"/>
      <c r="C3764" s="10"/>
    </row>
    <row r="3765" spans="1:3" x14ac:dyDescent="0.25">
      <c r="A3765" s="10"/>
      <c r="B3765" s="10"/>
      <c r="C3765" s="10"/>
    </row>
    <row r="3766" spans="1:3" x14ac:dyDescent="0.25">
      <c r="A3766" s="10"/>
      <c r="B3766" s="10"/>
      <c r="C3766" s="10"/>
    </row>
    <row r="3767" spans="1:3" x14ac:dyDescent="0.25">
      <c r="A3767" s="10"/>
      <c r="B3767" s="10"/>
      <c r="C3767" s="10"/>
    </row>
    <row r="3768" spans="1:3" x14ac:dyDescent="0.25">
      <c r="A3768" s="10"/>
      <c r="B3768" s="10"/>
      <c r="C3768" s="10"/>
    </row>
    <row r="3769" spans="1:3" x14ac:dyDescent="0.25">
      <c r="A3769" s="10"/>
      <c r="B3769" s="10"/>
      <c r="C3769" s="10"/>
    </row>
    <row r="3770" spans="1:3" x14ac:dyDescent="0.25">
      <c r="A3770" s="10"/>
      <c r="B3770" s="10"/>
      <c r="C3770" s="10"/>
    </row>
    <row r="3771" spans="1:3" x14ac:dyDescent="0.25">
      <c r="A3771" s="10"/>
      <c r="B3771" s="10"/>
      <c r="C3771" s="10"/>
    </row>
    <row r="3772" spans="1:3" x14ac:dyDescent="0.25">
      <c r="A3772" s="10"/>
      <c r="B3772" s="10"/>
      <c r="C3772" s="10"/>
    </row>
    <row r="3773" spans="1:3" x14ac:dyDescent="0.25">
      <c r="A3773" s="10"/>
      <c r="B3773" s="10"/>
      <c r="C3773" s="10"/>
    </row>
    <row r="3774" spans="1:3" x14ac:dyDescent="0.25">
      <c r="A3774" s="10"/>
      <c r="B3774" s="10"/>
      <c r="C3774" s="10"/>
    </row>
    <row r="3775" spans="1:3" x14ac:dyDescent="0.25">
      <c r="A3775" s="10"/>
      <c r="B3775" s="10"/>
      <c r="C3775" s="10"/>
    </row>
    <row r="3776" spans="1:3" x14ac:dyDescent="0.25">
      <c r="A3776" s="10"/>
      <c r="B3776" s="10"/>
      <c r="C3776" s="10"/>
    </row>
    <row r="3777" spans="1:3" x14ac:dyDescent="0.25">
      <c r="A3777" s="10"/>
      <c r="B3777" s="10"/>
      <c r="C3777" s="10"/>
    </row>
    <row r="3778" spans="1:3" x14ac:dyDescent="0.25">
      <c r="A3778" s="10"/>
      <c r="B3778" s="10"/>
      <c r="C3778" s="10"/>
    </row>
    <row r="3779" spans="1:3" x14ac:dyDescent="0.25">
      <c r="A3779" s="10"/>
      <c r="B3779" s="10"/>
      <c r="C3779" s="10"/>
    </row>
    <row r="3780" spans="1:3" x14ac:dyDescent="0.25">
      <c r="A3780" s="10"/>
      <c r="B3780" s="10"/>
      <c r="C3780" s="10"/>
    </row>
    <row r="3781" spans="1:3" x14ac:dyDescent="0.25">
      <c r="A3781" s="10"/>
      <c r="B3781" s="10"/>
      <c r="C3781" s="10"/>
    </row>
    <row r="3782" spans="1:3" x14ac:dyDescent="0.25">
      <c r="A3782" s="10"/>
      <c r="B3782" s="10"/>
      <c r="C3782" s="10"/>
    </row>
    <row r="3783" spans="1:3" x14ac:dyDescent="0.25">
      <c r="A3783" s="10"/>
      <c r="B3783" s="10"/>
      <c r="C3783" s="10"/>
    </row>
    <row r="3784" spans="1:3" x14ac:dyDescent="0.25">
      <c r="A3784" s="10"/>
      <c r="B3784" s="10"/>
      <c r="C3784" s="10"/>
    </row>
    <row r="3785" spans="1:3" x14ac:dyDescent="0.25">
      <c r="A3785" s="10"/>
      <c r="B3785" s="10"/>
      <c r="C3785" s="10"/>
    </row>
    <row r="3786" spans="1:3" x14ac:dyDescent="0.25">
      <c r="A3786" s="10"/>
      <c r="B3786" s="10"/>
      <c r="C3786" s="10"/>
    </row>
    <row r="3787" spans="1:3" x14ac:dyDescent="0.25">
      <c r="A3787" s="10"/>
      <c r="B3787" s="10"/>
      <c r="C3787" s="10"/>
    </row>
    <row r="3788" spans="1:3" x14ac:dyDescent="0.25">
      <c r="A3788" s="10"/>
      <c r="B3788" s="10"/>
      <c r="C3788" s="10"/>
    </row>
    <row r="3789" spans="1:3" x14ac:dyDescent="0.25">
      <c r="A3789" s="10"/>
      <c r="B3789" s="10"/>
      <c r="C3789" s="10"/>
    </row>
    <row r="3790" spans="1:3" x14ac:dyDescent="0.25">
      <c r="A3790" s="10"/>
      <c r="B3790" s="10"/>
      <c r="C3790" s="10"/>
    </row>
    <row r="3791" spans="1:3" x14ac:dyDescent="0.25">
      <c r="A3791" s="10"/>
      <c r="B3791" s="10"/>
      <c r="C3791" s="10"/>
    </row>
    <row r="3792" spans="1:3" x14ac:dyDescent="0.25">
      <c r="A3792" s="10"/>
      <c r="B3792" s="10"/>
      <c r="C3792" s="1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Comptage Décadaire</vt:lpstr>
      <vt:lpstr>IMPORTS</vt:lpstr>
      <vt:lpstr>Sites</vt:lpstr>
      <vt:lpstr>Nomenclature</vt:lpstr>
      <vt:lpstr>Utilisateurs</vt:lpstr>
      <vt:lpstr>Taxons</vt:lpstr>
      <vt:lpstr>l_obs</vt:lpstr>
      <vt:lpstr>l_site</vt:lpstr>
      <vt:lpstr>l_taxon</vt:lpstr>
      <vt:lpstr>p_obs</vt:lpstr>
      <vt:lpstr>p_site</vt:lpstr>
      <vt:lpstr>p_taxon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Toma</dc:creator>
  <cp:lastModifiedBy>Maxime Toma</cp:lastModifiedBy>
  <dcterms:created xsi:type="dcterms:W3CDTF">2015-06-05T18:19:34Z</dcterms:created>
  <dcterms:modified xsi:type="dcterms:W3CDTF">2021-02-25T08:24:50Z</dcterms:modified>
</cp:coreProperties>
</file>